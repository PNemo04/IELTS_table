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a8cd8f75b45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仪表盘" sheetId="1" r:id="Re6c901893550422e"/>
    <x:sheet xmlns:r="http://schemas.openxmlformats.org/officeDocument/2006/relationships" name="练习记录" sheetId="2" r:id="Rfa9e9cd8536d49c2"/>
    <x:sheet xmlns:r="http://schemas.openxmlformats.org/officeDocument/2006/relationships" name="趋势数据" sheetId="3" r:id="R1dd99925676e4922"/>
    <x:sheet xmlns:r="http://schemas.openxmlformats.org/officeDocument/2006/relationships" name="弱项分析" sheetId="4" r:id="R204f194abb2a4a86"/>
    <x:sheet xmlns:r="http://schemas.openxmlformats.org/officeDocument/2006/relationships" name="评分规则" sheetId="5" r:id="Ra455ebd8ef7845a5"/>
    <x:sheet xmlns:r="http://schemas.openxmlformats.org/officeDocument/2006/relationships" name="使用说明" sheetId="6" r:id="R400023170a794f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yyyy-mm-dd"/>
    <x:numFmt numFmtId="202" formatCode="0"/>
    <x:numFmt numFmtId="203" formatCode="0.0%"/>
  </x:numFmts>
  <x:fonts count="10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6"/>
      <x:color rgb="FFFFFFFF"/>
      <x:name val="Arial"/>
    </x:font>
    <x:font>
      <x:sz val="11"/>
      <x:color rgb="FF44546A"/>
      <x:name val="Carlito"/>
    </x:font>
    <x:font>
      <x:b/>
      <x:sz val="11"/>
      <x:name val="Carlito"/>
    </x:font>
    <x:font>
      <x:b/>
      <x:sz val="11"/>
      <x:color rgb="FF263238"/>
      <x:name val="Carlito"/>
    </x:font>
    <x:font>
      <x:b/>
      <x:sz val="18"/>
      <x:name val="Carlito"/>
    </x:font>
    <x:font>
      <x:b/>
      <x:sz val="18"/>
      <x:color rgb="FF26323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3F6F8"/>
      </x:patternFill>
    </x:fill>
    <x:fill>
      <x:patternFill patternType="solid">
        <x:fgColor rgb="FFDDEFEA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E7E6F7"/>
      </x:patternFill>
    </x:fill>
    <x:fill>
      <x:patternFill patternType="solid">
        <x:fgColor rgb="FFFCE4D6"/>
      </x:patternFill>
    </x:fill>
  </x:fills>
  <x:borders count="1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thin">
        <x:color rgb="FFD8E1E8"/>
      </x:left>
      <x:top style="thin">
        <x:color rgb="FFD8E1E8"/>
      </x:top>
      <x:bottom style="thin">
        <x:color rgb="FFD8E1E8"/>
      </x:bottom>
    </x:border>
    <x:border>
      <x:top style="thin">
        <x:color rgb="FFD8E1E8"/>
      </x:top>
      <x:bottom style="thin">
        <x:color rgb="FFD8E1E8"/>
      </x:bottom>
    </x:border>
    <x:border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thin">
        <x:color rgb="FFD8E1E8"/>
      </x:left>
      <x:top style="thin">
        <x:color rgb="FFD8E1E8"/>
      </x:top>
    </x:border>
    <x:border>
      <x:top style="thin">
        <x:color rgb="FFD8E1E8"/>
      </x:top>
    </x:border>
    <x:border>
      <x:right style="thin">
        <x:color rgb="FFD8E1E8"/>
      </x:right>
      <x:top style="thin">
        <x:color rgb="FFD8E1E8"/>
      </x:top>
    </x:border>
    <x:border>
      <x:left style="thin">
        <x:color rgb="FFD8E1E8"/>
      </x:left>
    </x:border>
    <x:border>
      <x:right style="thin">
        <x:color rgb="FFD8E1E8"/>
      </x:right>
    </x:border>
    <x:border>
      <x:left style="thin">
        <x:color rgb="FFD8E1E8"/>
      </x:left>
      <x:bottom style="thin">
        <x:color rgb="FFD8E1E8"/>
      </x:bottom>
    </x:border>
    <x:border>
      <x:bottom style="thin">
        <x:color rgb="FFD8E1E8"/>
      </x:bottom>
    </x:border>
    <x:border>
      <x:right style="thin">
        <x:color rgb="FFD8E1E8"/>
      </x:right>
      <x:bottom style="thin">
        <x:color rgb="FFD8E1E8"/>
      </x:bottom>
    </x:border>
  </x:borders>
  <x:cellStyleXfs count="1">
    <x:xf numFmtId="0" fontId="0" fillId="0" borderId="0"/>
  </x:cellStyleXfs>
  <x:cellXfs count="14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200" fontId="0" fillId="5" borderId="2" xfId="0" applyNumberFormat="1" applyFont="1" applyFill="1" applyBorder="1"/>
    <x:xf numFmtId="0" fontId="7" fillId="4" borderId="3" xfId="0" applyNumberFormat="1" applyFont="1" applyFill="1" applyBorder="1" applyAlignment="1">
      <x:alignment horizontal="center" vertical="center" wrapText="1"/>
    </x:xf>
    <x:xf numFmtId="200" fontId="0" fillId="5" borderId="3" xfId="0" applyNumberFormat="1" applyFont="1" applyFill="1" applyBorder="1"/>
    <x:xf numFmtId="0" fontId="0" fillId="3" borderId="3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7" fillId="6" borderId="4" xfId="0" applyNumberFormat="1" applyFont="1" applyFill="1" applyBorder="1" applyAlignment="1">
      <x:alignment horizontal="center" vertical="center"/>
    </x:xf>
    <x:xf numFmtId="0" fontId="7" fillId="6" borderId="5" xfId="0" applyNumberFormat="1" applyFont="1" applyFill="1" applyBorder="1" applyAlignment="1">
      <x:alignment horizontal="center" vertical="center"/>
    </x:xf>
    <x:xf numFmtId="0" fontId="7" fillId="6" borderId="6" xfId="0" applyNumberFormat="1" applyFont="1" applyFill="1" applyBorder="1" applyAlignment="1">
      <x:alignment horizontal="center" vertical="center"/>
    </x:xf>
    <x:xf numFmtId="0" fontId="9" fillId="6" borderId="7" xfId="0" applyNumberFormat="1" applyFont="1" applyFill="1" applyBorder="1" applyAlignment="1">
      <x:alignment horizontal="center" vertical="center"/>
    </x:xf>
    <x:xf numFmtId="0" fontId="9" fillId="6" borderId="8" xfId="0" applyNumberFormat="1" applyFont="1" applyFill="1" applyBorder="1" applyAlignment="1">
      <x:alignment horizontal="center" vertical="center"/>
    </x:xf>
    <x:xf numFmtId="0" fontId="9" fillId="6" borderId="9" xfId="0" applyNumberFormat="1" applyFont="1" applyFill="1" applyBorder="1" applyAlignment="1">
      <x:alignment horizontal="center" vertical="center"/>
    </x:xf>
    <x:xf numFmtId="0" fontId="9" fillId="6" borderId="10" xfId="0" applyNumberFormat="1" applyFont="1" applyFill="1" applyBorder="1" applyAlignment="1">
      <x:alignment horizontal="center" vertical="center"/>
    </x:xf>
    <x:xf numFmtId="0" fontId="9" fillId="6" borderId="11" xfId="0" applyNumberFormat="1" applyFont="1" applyFill="1" applyBorder="1" applyAlignment="1">
      <x:alignment horizontal="center" vertical="center"/>
    </x:xf>
    <x:xf numFmtId="0" fontId="9" fillId="6" borderId="12" xfId="0" applyNumberFormat="1" applyFont="1" applyFill="1" applyBorder="1" applyAlignment="1">
      <x:alignment horizontal="center" vertical="center"/>
    </x:xf>
    <x:xf numFmtId="0" fontId="9" fillId="6" borderId="13" xfId="0" applyNumberFormat="1" applyFont="1" applyFill="1" applyBorder="1" applyAlignment="1">
      <x:alignment horizontal="center" vertical="center"/>
    </x:xf>
    <x:xf numFmtId="0" fontId="9" fillId="6" borderId="14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8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7" fillId="7" borderId="4" xfId="0" applyNumberFormat="1" applyFont="1" applyFill="1" applyBorder="1" applyAlignment="1">
      <x:alignment horizontal="center" vertical="center"/>
    </x:xf>
    <x:xf numFmtId="0" fontId="7" fillId="7" borderId="5" xfId="0" applyNumberFormat="1" applyFont="1" applyFill="1" applyBorder="1" applyAlignment="1">
      <x:alignment horizontal="center" vertical="center"/>
    </x:xf>
    <x:xf numFmtId="0" fontId="7" fillId="7" borderId="6" xfId="0" applyNumberFormat="1" applyFont="1" applyFill="1" applyBorder="1" applyAlignment="1">
      <x:alignment horizontal="center" vertical="center"/>
    </x:xf>
    <x:xf numFmtId="0" fontId="9" fillId="7" borderId="7" xfId="0" applyNumberFormat="1" applyFont="1" applyFill="1" applyBorder="1" applyAlignment="1">
      <x:alignment horizontal="center" vertical="center"/>
    </x:xf>
    <x:xf numFmtId="0" fontId="9" fillId="7" borderId="8" xfId="0" applyNumberFormat="1" applyFont="1" applyFill="1" applyBorder="1" applyAlignment="1">
      <x:alignment horizontal="center" vertical="center"/>
    </x:xf>
    <x:xf numFmtId="0" fontId="9" fillId="7" borderId="9" xfId="0" applyNumberFormat="1" applyFont="1" applyFill="1" applyBorder="1" applyAlignment="1">
      <x:alignment horizontal="center" vertical="center"/>
    </x:xf>
    <x:xf numFmtId="0" fontId="9" fillId="7" borderId="10" xfId="0" applyNumberFormat="1" applyFont="1" applyFill="1" applyBorder="1" applyAlignment="1">
      <x:alignment horizontal="center" vertical="center"/>
    </x:xf>
    <x:xf numFmtId="0" fontId="9" fillId="7" borderId="11" xfId="0" applyNumberFormat="1" applyFont="1" applyFill="1" applyBorder="1" applyAlignment="1">
      <x:alignment horizontal="center" vertical="center"/>
    </x:xf>
    <x:xf numFmtId="0" fontId="9" fillId="7" borderId="12" xfId="0" applyNumberFormat="1" applyFont="1" applyFill="1" applyBorder="1" applyAlignment="1">
      <x:alignment horizontal="center" vertical="center"/>
    </x:xf>
    <x:xf numFmtId="0" fontId="9" fillId="7" borderId="13" xfId="0" applyNumberFormat="1" applyFont="1" applyFill="1" applyBorder="1" applyAlignment="1">
      <x:alignment horizontal="center" vertical="center"/>
    </x:xf>
    <x:xf numFmtId="0" fontId="9" fillId="7" borderId="1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 vertical="center"/>
    </x:xf>
    <x:xf numFmtId="0" fontId="7" fillId="8" borderId="4" xfId="0" applyNumberFormat="1" applyFont="1" applyFill="1" applyBorder="1" applyAlignment="1">
      <x:alignment horizontal="center" vertical="center"/>
    </x:xf>
    <x:xf numFmtId="0" fontId="7" fillId="8" borderId="5" xfId="0" applyNumberFormat="1" applyFont="1" applyFill="1" applyBorder="1" applyAlignment="1">
      <x:alignment horizontal="center" vertical="center"/>
    </x:xf>
    <x:xf numFmtId="0" fontId="7" fillId="8" borderId="6" xfId="0" applyNumberFormat="1" applyFont="1" applyFill="1" applyBorder="1" applyAlignment="1">
      <x:alignment horizontal="center" vertical="center"/>
    </x:xf>
    <x:xf numFmtId="0" fontId="9" fillId="8" borderId="7" xfId="0" applyNumberFormat="1" applyFont="1" applyFill="1" applyBorder="1" applyAlignment="1">
      <x:alignment horizontal="center" vertical="center"/>
    </x:xf>
    <x:xf numFmtId="0" fontId="9" fillId="8" borderId="8" xfId="0" applyNumberFormat="1" applyFont="1" applyFill="1" applyBorder="1" applyAlignment="1">
      <x:alignment horizontal="center" vertical="center"/>
    </x:xf>
    <x:xf numFmtId="0" fontId="9" fillId="8" borderId="9" xfId="0" applyNumberFormat="1" applyFont="1" applyFill="1" applyBorder="1" applyAlignment="1">
      <x:alignment horizontal="center" vertical="center"/>
    </x:xf>
    <x:xf numFmtId="0" fontId="9" fillId="8" borderId="10" xfId="0" applyNumberFormat="1" applyFont="1" applyFill="1" applyBorder="1" applyAlignment="1">
      <x:alignment horizontal="center" vertical="center"/>
    </x:xf>
    <x:xf numFmtId="0" fontId="9" fillId="8" borderId="11" xfId="0" applyNumberFormat="1" applyFont="1" applyFill="1" applyBorder="1" applyAlignment="1">
      <x:alignment horizontal="center" vertical="center"/>
    </x:xf>
    <x:xf numFmtId="0" fontId="9" fillId="8" borderId="12" xfId="0" applyNumberFormat="1" applyFont="1" applyFill="1" applyBorder="1" applyAlignment="1">
      <x:alignment horizontal="center" vertical="center"/>
    </x:xf>
    <x:xf numFmtId="0" fontId="9" fillId="8" borderId="13" xfId="0" applyNumberFormat="1" applyFont="1" applyFill="1" applyBorder="1" applyAlignment="1">
      <x:alignment horizontal="center" vertical="center"/>
    </x:xf>
    <x:xf numFmtId="0" fontId="9" fillId="8" borderId="14" xfId="0" applyNumberFormat="1" applyFont="1" applyFill="1" applyBorder="1" applyAlignment="1">
      <x:alignment horizontal="center" vertical="center"/>
    </x:xf>
    <x:xf numFmtId="200" fontId="9" fillId="7" borderId="7" xfId="0" applyNumberFormat="1" applyFont="1" applyFill="1" applyBorder="1" applyAlignment="1">
      <x:alignment horizontal="center" vertical="center"/>
    </x:xf>
    <x:xf numFmtId="200" fontId="9" fillId="7" borderId="8" xfId="0" applyNumberFormat="1" applyFont="1" applyFill="1" applyBorder="1" applyAlignment="1">
      <x:alignment horizontal="center" vertical="center"/>
    </x:xf>
    <x:xf numFmtId="200" fontId="9" fillId="7" borderId="9" xfId="0" applyNumberFormat="1" applyFont="1" applyFill="1" applyBorder="1" applyAlignment="1">
      <x:alignment horizontal="center" vertical="center"/>
    </x:xf>
    <x:xf numFmtId="200" fontId="9" fillId="7" borderId="10" xfId="0" applyNumberFormat="1" applyFont="1" applyFill="1" applyBorder="1" applyAlignment="1">
      <x:alignment horizontal="center" vertical="center"/>
    </x:xf>
    <x:xf numFmtId="200" fontId="9" fillId="7" borderId="0" xfId="0" applyNumberFormat="1" applyFont="1" applyFill="1" applyBorder="1" applyAlignment="1">
      <x:alignment horizontal="center" vertical="center"/>
    </x:xf>
    <x:xf numFmtId="200" fontId="9" fillId="7" borderId="11" xfId="0" applyNumberFormat="1" applyFont="1" applyFill="1" applyBorder="1" applyAlignment="1">
      <x:alignment horizontal="center" vertical="center"/>
    </x:xf>
    <x:xf numFmtId="200" fontId="9" fillId="7" borderId="12" xfId="0" applyNumberFormat="1" applyFont="1" applyFill="1" applyBorder="1" applyAlignment="1">
      <x:alignment horizontal="center" vertical="center"/>
    </x:xf>
    <x:xf numFmtId="200" fontId="9" fillId="7" borderId="13" xfId="0" applyNumberFormat="1" applyFont="1" applyFill="1" applyBorder="1" applyAlignment="1">
      <x:alignment horizontal="center" vertical="center"/>
    </x:xf>
    <x:xf numFmtId="200" fontId="9" fillId="7" borderId="14" xfId="0" applyNumberFormat="1" applyFont="1" applyFill="1" applyBorder="1" applyAlignment="1">
      <x:alignment horizontal="center" vertical="center"/>
    </x:xf>
    <x:xf numFmtId="200" fontId="9" fillId="8" borderId="7" xfId="0" applyNumberFormat="1" applyFont="1" applyFill="1" applyBorder="1" applyAlignment="1">
      <x:alignment horizontal="center" vertical="center"/>
    </x:xf>
    <x:xf numFmtId="200" fontId="9" fillId="8" borderId="8" xfId="0" applyNumberFormat="1" applyFont="1" applyFill="1" applyBorder="1" applyAlignment="1">
      <x:alignment horizontal="center" vertical="center"/>
    </x:xf>
    <x:xf numFmtId="200" fontId="9" fillId="8" borderId="9" xfId="0" applyNumberFormat="1" applyFont="1" applyFill="1" applyBorder="1" applyAlignment="1">
      <x:alignment horizontal="center" vertical="center"/>
    </x:xf>
    <x:xf numFmtId="200" fontId="9" fillId="8" borderId="10" xfId="0" applyNumberFormat="1" applyFont="1" applyFill="1" applyBorder="1" applyAlignment="1">
      <x:alignment horizontal="center" vertical="center"/>
    </x:xf>
    <x:xf numFmtId="200" fontId="9" fillId="8" borderId="0" xfId="0" applyNumberFormat="1" applyFont="1" applyFill="1" applyBorder="1" applyAlignment="1">
      <x:alignment horizontal="center" vertical="center"/>
    </x:xf>
    <x:xf numFmtId="200" fontId="9" fillId="8" borderId="11" xfId="0" applyNumberFormat="1" applyFont="1" applyFill="1" applyBorder="1" applyAlignment="1">
      <x:alignment horizontal="center" vertical="center"/>
    </x:xf>
    <x:xf numFmtId="200" fontId="9" fillId="8" borderId="12" xfId="0" applyNumberFormat="1" applyFont="1" applyFill="1" applyBorder="1" applyAlignment="1">
      <x:alignment horizontal="center" vertical="center"/>
    </x:xf>
    <x:xf numFmtId="200" fontId="9" fillId="8" borderId="13" xfId="0" applyNumberFormat="1" applyFont="1" applyFill="1" applyBorder="1" applyAlignment="1">
      <x:alignment horizontal="center" vertical="center"/>
    </x:xf>
    <x:xf numFmtId="200" fontId="9" fillId="8" borderId="14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horizontal="center"/>
    </x:xf>
    <x:xf numFmtId="0" fontId="7" fillId="9" borderId="0" xfId="0" applyNumberFormat="1" applyFont="1" applyFill="1" applyBorder="1" applyAlignment="1">
      <x:alignment horizontal="center" vertical="center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7" fillId="6" borderId="3" xfId="0" applyNumberFormat="1" applyFont="1" applyFill="1" applyBorder="1" applyAlignment="1">
      <x:alignment horizontal="center" vertical="center" wrapText="1"/>
    </x:xf>
    <x:xf numFmtId="201" fontId="0" fillId="0" borderId="3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3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/>
    <x:xf numFmtId="0" fontId="6" fillId="5" borderId="3" xfId="0" applyNumberFormat="1" applyFont="1" applyFill="1" applyBorder="1" applyAlignment="1">
      <x:alignment horizontal="center" vertical="center"/>
    </x:xf>
    <x:xf numFmtId="0" fontId="6" fillId="5" borderId="2" xfId="0" applyNumberFormat="1" applyFont="1" applyFill="1" applyBorder="1" applyAlignment="1">
      <x:alignment horizontal="center" vertical="center"/>
    </x:xf>
    <x:xf numFmtId="0" fontId="0" fillId="7" borderId="3" xfId="0" applyNumberFormat="1" applyFont="1" applyFill="1" applyBorder="1"/>
    <x:xf numFmtId="0" fontId="0" fillId="7" borderId="2" xfId="0" applyNumberFormat="1" applyFont="1" applyFill="1" applyBorder="1"/>
    <x:xf numFmtId="201" fontId="0" fillId="5" borderId="2" xfId="0" applyNumberFormat="1" applyFont="1" applyFill="1" applyBorder="1"/>
    <x:xf numFmtId="202" fontId="6" fillId="5" borderId="2" xfId="0" applyNumberFormat="1" applyFont="1" applyFill="1" applyBorder="1" applyAlignment="1">
      <x:alignment horizontal="center" vertical="center"/>
    </x:xf>
    <x:xf numFmtId="202" fontId="0" fillId="5" borderId="2" xfId="0" applyNumberFormat="1" applyFont="1" applyFill="1" applyBorder="1"/>
    <x:xf numFmtId="202" fontId="0" fillId="7" borderId="2" xfId="0" applyNumberFormat="1" applyFont="1" applyFill="1" applyBorder="1"/>
    <x:xf numFmtId="200" fontId="0" fillId="7" borderId="2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202" fontId="0" fillId="0" borderId="3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  <x:xf numFmtId="203" fontId="0" fillId="0" borderId="3" xfId="0" applyNumberFormat="1" applyFont="1" applyFill="1" applyBorder="1"/>
    <x:xf numFmtId="0" fontId="7" fillId="8" borderId="3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7" fillId="7" borderId="3" xfId="0" applyNumberFormat="1" applyFont="1" applyFill="1" applyBorder="1" applyAlignment="1">
      <x:alignment horizontal="center" vertical="center" wrapText="1"/>
    </x:xf>
    <x:xf numFmtId="200" fontId="4" fillId="2" borderId="0" xfId="0" applyNumberFormat="1" applyFont="1" applyFill="1" applyBorder="1" applyAlignment="1">
      <x:alignment horizontal="center" vertical="center"/>
    </x:xf>
    <x:xf numFmtId="0" fontId="6" fillId="6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4fc9558daa4d66" /><Relationship Type="http://schemas.openxmlformats.org/officeDocument/2006/relationships/theme" Target="/xl/theme/theme1.xml" Id="R65922b2031c2488c" /><Relationship Type="http://schemas.openxmlformats.org/officeDocument/2006/relationships/sharedStrings" Target="/xl/sharedStrings.xml" Id="R53a5625814774215" /><Relationship Type="http://schemas.openxmlformats.org/officeDocument/2006/relationships/worksheet" Target="/xl/worksheets/sheet1.xml" Id="Re6c901893550422e" /><Relationship Type="http://schemas.openxmlformats.org/officeDocument/2006/relationships/worksheet" Target="/xl/worksheets/sheet2.xml" Id="Rfa9e9cd8536d49c2" /><Relationship Type="http://schemas.openxmlformats.org/officeDocument/2006/relationships/worksheet" Target="/xl/worksheets/sheet3.xml" Id="R1dd99925676e4922" /><Relationship Type="http://schemas.openxmlformats.org/officeDocument/2006/relationships/worksheet" Target="/xl/worksheets/sheet4.xml" Id="R204f194abb2a4a86" /><Relationship Type="http://schemas.openxmlformats.org/officeDocument/2006/relationships/worksheet" Target="/xl/worksheets/sheet5.xml" Id="Ra455ebd8ef7845a5" /><Relationship Type="http://schemas.openxmlformats.org/officeDocument/2006/relationships/worksheet" Target="/xl/worksheets/sheet6.xml" Id="R400023170a794f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2cf923eac0408d" /><Relationship Type="http://schemas.openxmlformats.org/officeDocument/2006/relationships/chart" Target="/xl/drawings/charts/chart2.xml" Id="R91fe16f98b99419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f60efe59b4bc4d2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d08f066707db48b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听力 / 阅读 / 综合分数趋势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layout/>
      <c:lineChart>
        <c:grouping val="standard"/>
        <c:ser>
          <c:idx val="0"/>
          <c:order val="0"/>
          <c:tx>
            <c:v>听力分数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'趋势数据'!$K$5:$K$164</c:f>
              <c:strCache>
                <c:ptCount val="0"/>
              </c:strCache>
            </c:strRef>
          </c:cat>
          <c:val>
            <c:numRef>
              <c:f>'趋势数据'!$L$5:$L$164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阅读分数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'趋势数据'!$K$5:$K$164</c:f>
              <c:strCache>
                <c:ptCount val="0"/>
              </c:strCache>
            </c:strRef>
          </c:cat>
          <c:val>
            <c:numRef>
              <c:f>'趋势数据'!$M$5:$M$164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综合均分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'趋势数据'!$K$5:$K$164</c:f>
              <c:strCache>
                <c:ptCount val="0"/>
              </c:strCache>
            </c:strRef>
          </c:cat>
          <c:val>
            <c:numRef>
              <c:f>'趋势数据'!$N$5:$N$164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9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各部分平均正确数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layout/>
      <c:barChart>
        <c:barDir val="col"/>
        <c:varyColors val="0"/>
        <c:ser>
          <c:idx val="0"/>
          <c:order val="0"/>
          <c:tx>
            <c:v>平均正确数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'弱项分析'!$H$5:$H$11</c:f>
              <c:strCache>
                <c:ptCount val="0"/>
              </c:strCache>
            </c:strRef>
          </c:cat>
          <c:val>
            <c:numRef>
              <c:f>'弱项分析'!$I$5:$I$11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雅思练习分数趋势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layout/>
      <c:lineChart>
        <c:grouping val="standard"/>
        <c:ser>
          <c:idx val="0"/>
          <c:order val="0"/>
          <c:tx>
            <c:v>听力分数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'趋势数据'!$K$5:$K$164</c:f>
              <c:strCache>
                <c:ptCount val="0"/>
              </c:strCache>
            </c:strRef>
          </c:cat>
          <c:val>
            <c:numRef>
              <c:f>'趋势数据'!$L$5:$L$164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阅读分数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'趋势数据'!$K$5:$K$164</c:f>
              <c:strCache>
                <c:ptCount val="0"/>
              </c:strCache>
            </c:strRef>
          </c:cat>
          <c:val>
            <c:numRef>
              <c:f>'趋势数据'!$M$5:$M$164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综合均分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'趋势数据'!$K$5:$K$164</c:f>
              <c:strCache>
                <c:ptCount val="0"/>
              </c:strCache>
            </c:strRef>
          </c:cat>
          <c:val>
            <c:numRef>
              <c:f>'趋势数据'!$N$5:$N$164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9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平均正确数对比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layout/>
      <c:barChart>
        <c:barDir val="col"/>
        <c:varyColors val="0"/>
        <c:ser>
          <c:idx val="0"/>
          <c:order val="0"/>
          <c:tx>
            <c:v>平均正确数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'弱项分析'!$H$5:$H$11</c:f>
              <c:strCache>
                <c:ptCount val="0"/>
              </c:strCache>
            </c:strRef>
          </c:cat>
          <c:val>
            <c:numRef>
              <c:f>'弱项分析'!$I$5:$I$11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2cf923eac0408d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15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fe16f98b99419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15</xdr:col>
      <xdr:colOff>0</xdr:colOff>
      <xdr:row>3</xdr:row>
      <xdr:rowOff>0</xdr:rowOff>
    </xdr:from>
    <xdr:to>
      <xdr:col>23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0efe59b4bc4d2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8f066707db48b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fd8d31477174b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7b85a5c8368b49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166aace36e9044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</x:cols>
  <x:sheetData>
    <x:row r="1" ht="32" customHeight="1">
      <x:c r="A1" s="7" t="str">
        <x:v>雅思练习追踪仪表盘</x:v>
      </x:c>
      <x:c r="B1" s="7" t="str">
        <x:v>雅思练习追踪仪表盘</x:v>
      </x:c>
      <x:c r="C1" s="7" t="str">
        <x:v>雅思练习追踪仪表盘</x:v>
      </x:c>
      <x:c r="D1" s="7" t="str">
        <x:v>雅思练习追踪仪表盘</x:v>
      </x:c>
      <x:c r="E1" s="7" t="str">
        <x:v>雅思练习追踪仪表盘</x:v>
      </x:c>
      <x:c r="F1" s="7" t="str">
        <x:v>雅思练习追踪仪表盘</x:v>
      </x:c>
      <x:c r="G1" s="7" t="str">
        <x:v>雅思练习追踪仪表盘</x:v>
      </x:c>
      <x:c r="H1" s="7" t="str">
        <x:v>雅思练习追踪仪表盘</x:v>
      </x:c>
      <x:c r="I1" s="7" t="str">
        <x:v>雅思练习追踪仪表盘</x:v>
      </x:c>
      <x:c r="J1" s="7" t="str">
        <x:v>雅思练习追踪仪表盘</x:v>
      </x:c>
      <x:c r="K1" s="7" t="str">
        <x:v>雅思练习追踪仪表盘</x:v>
      </x:c>
      <x:c r="L1" s="7" t="str">
        <x:v>雅思练习追踪仪表盘</x:v>
      </x:c>
      <x:c r="M1" s="7" t="str">
        <x:v>雅思练习追踪仪表盘</x:v>
      </x:c>
      <x:c r="N1" s="7" t="str">
        <x:v>雅思练习追踪仪表盘</x:v>
      </x:c>
      <x:c r="O1" s="7" t="str">
        <x:v>雅思练习追踪仪表盘</x:v>
      </x:c>
      <x:c r="P1" s="1"/>
      <x:c r="Q1" s="1"/>
      <x:c r="R1" s="1"/>
      <x:c r="S1" s="1"/>
      <x:c r="T1" s="1"/>
      <x:c r="U1" s="1"/>
    </x:row>
    <x:row r="2">
      <x:c r="A2" s="10" t="str">
        <x:v>记录剑桥雅思练习、自动换算听力/阅读分数，并跟踪复刷趋势与弱项。</x:v>
      </x:c>
      <x:c r="B2" s="10" t="str">
        <x:v>记录剑桥雅思练习、自动换算听力/阅读分数，并跟踪复刷趋势与弱项。</x:v>
      </x:c>
      <x:c r="C2" s="10" t="str">
        <x:v>记录剑桥雅思练习、自动换算听力/阅读分数，并跟踪复刷趋势与弱项。</x:v>
      </x:c>
      <x:c r="D2" s="10" t="str">
        <x:v>记录剑桥雅思练习、自动换算听力/阅读分数，并跟踪复刷趋势与弱项。</x:v>
      </x:c>
      <x:c r="E2" s="10" t="str">
        <x:v>记录剑桥雅思练习、自动换算听力/阅读分数，并跟踪复刷趋势与弱项。</x:v>
      </x:c>
      <x:c r="F2" s="10" t="str">
        <x:v>记录剑桥雅思练习、自动换算听力/阅读分数，并跟踪复刷趋势与弱项。</x:v>
      </x:c>
      <x:c r="G2" s="10" t="str">
        <x:v>记录剑桥雅思练习、自动换算听力/阅读分数，并跟踪复刷趋势与弱项。</x:v>
      </x:c>
      <x:c r="H2" s="10" t="str">
        <x:v>记录剑桥雅思练习、自动换算听力/阅读分数，并跟踪复刷趋势与弱项。</x:v>
      </x:c>
      <x:c r="I2" s="10" t="str">
        <x:v>记录剑桥雅思练习、自动换算听力/阅读分数，并跟踪复刷趋势与弱项。</x:v>
      </x:c>
      <x:c r="J2" s="10" t="str">
        <x:v>记录剑桥雅思练习、自动换算听力/阅读分数，并跟踪复刷趋势与弱项。</x:v>
      </x:c>
      <x:c r="K2" s="10" t="str">
        <x:v>记录剑桥雅思练习、自动换算听力/阅读分数，并跟踪复刷趋势与弱项。</x:v>
      </x:c>
      <x:c r="L2" s="10" t="str">
        <x:v>记录剑桥雅思练习、自动换算听力/阅读分数，并跟踪复刷趋势与弱项。</x:v>
      </x:c>
      <x:c r="M2" s="10" t="str">
        <x:v>记录剑桥雅思练习、自动换算听力/阅读分数，并跟踪复刷趋势与弱项。</x:v>
      </x:c>
      <x:c r="N2" s="10" t="str">
        <x:v>记录剑桥雅思练习、自动换算听力/阅读分数，并跟踪复刷趋势与弱项。</x:v>
      </x:c>
      <x:c r="O2" s="10" t="str">
        <x:v>记录剑桥雅思练习、自动换算听力/阅读分数，并跟踪复刷趋势与弱项。</x:v>
      </x:c>
    </x:row>
    <x:row r="4">
      <x:c r="A4" s="21" t="str">
        <x:v>听力目标</x:v>
      </x:c>
      <x:c r="B4" s="21" t="str">
        <x:v>阅读目标</x:v>
      </x:c>
      <x:c r="C4" s="21" t="str">
        <x:v>综合目标</x:v>
      </x:c>
      <x:c r="D4" s="21" t="str">
        <x:v>目标说明</x:v>
      </x:c>
    </x:row>
    <x:row r="5">
      <x:c r="A5" s="22" t="n">
        <x:v>7</x:v>
      </x:c>
      <x:c r="B5" s="22" t="n">
        <x:v>7</x:v>
      </x:c>
      <x:c r="C5" s="22" t="n">
        <x:v>7</x:v>
      </x:c>
      <x:c r="D5" s="23" t="str">
        <x:v>修改前三列即可更新目标差距</x:v>
      </x:c>
    </x:row>
    <x:row r="7">
      <x:c r="A7" s="33" t="str">
        <x:v>已记录次数</x:v>
      </x:c>
      <x:c r="B7" s="34" t="str">
        <x:v>已记录次数</x:v>
      </x:c>
      <x:c r="C7" s="35" t="str">
        <x:v>已记录次数</x:v>
      </x:c>
      <x:c r="D7" s="53" t="str">
        <x:v>平均听力</x:v>
      </x:c>
      <x:c r="E7" s="54" t="str">
        <x:v>平均听力</x:v>
      </x:c>
      <x:c r="F7" s="55" t="str">
        <x:v>平均听力</x:v>
      </x:c>
      <x:c r="G7" s="53" t="str">
        <x:v>平均阅读</x:v>
      </x:c>
      <x:c r="H7" s="54" t="str">
        <x:v>平均阅读</x:v>
      </x:c>
      <x:c r="I7" s="55" t="str">
        <x:v>平均阅读</x:v>
      </x:c>
      <x:c r="J7" s="73" t="str">
        <x:v>最好听力</x:v>
      </x:c>
      <x:c r="K7" s="74" t="str">
        <x:v>最好听力</x:v>
      </x:c>
      <x:c r="L7" s="75" t="str">
        <x:v>最好听力</x:v>
      </x:c>
      <x:c r="M7" s="73" t="str">
        <x:v>最好阅读</x:v>
      </x:c>
      <x:c r="N7" s="74" t="str">
        <x:v>最好阅读</x:v>
      </x:c>
      <x:c r="O7" s="75" t="str">
        <x:v>最好阅读</x:v>
      </x:c>
    </x:row>
    <x:row r="8">
      <x:c r="A8" s="36" t="n">
        <x:f>COUNT('趋势数据'!G5:G164)</x:f>
        <x:v>0</x:v>
      </x:c>
      <x:c r="B8" s="37" t="str"/>
      <x:c r="C8" s="38" t="str"/>
      <x:c r="D8" s="84" t="str">
        <x:f>IF(COUNT('趋势数据'!E5:E164)=0,"",AVERAGE('趋势数据'!E5:E164))</x:f>
      </x:c>
      <x:c r="E8" s="85" t="str"/>
      <x:c r="F8" s="86" t="str"/>
      <x:c r="G8" s="84" t="str">
        <x:f>IF(COUNT('趋势数据'!F5:F164)=0,"",AVERAGE('趋势数据'!F5:F164))</x:f>
      </x:c>
      <x:c r="H8" s="85" t="str"/>
      <x:c r="I8" s="86" t="str"/>
      <x:c r="J8" s="93" t="str">
        <x:f>IF(COUNT('趋势数据'!E5:E164)=0,"",MAX('趋势数据'!E5:E164))</x:f>
      </x:c>
      <x:c r="K8" s="94" t="str"/>
      <x:c r="L8" s="95" t="str"/>
      <x:c r="M8" s="93" t="str">
        <x:f>IF(COUNT('趋势数据'!F5:F164)=0,"",MAX('趋势数据'!F5:F164))</x:f>
      </x:c>
      <x:c r="N8" s="94" t="str"/>
      <x:c r="O8" s="95" t="str"/>
    </x:row>
    <x:row r="9">
      <x:c r="A9" s="39" t="str"/>
      <x:c r="B9" s="32" t="str"/>
      <x:c r="C9" s="40" t="str"/>
      <x:c r="D9" s="87" t="str"/>
      <x:c r="E9" s="88" t="str"/>
      <x:c r="F9" s="89" t="str"/>
      <x:c r="G9" s="87" t="str"/>
      <x:c r="H9" s="88" t="str"/>
      <x:c r="I9" s="89" t="str"/>
      <x:c r="J9" s="96" t="str"/>
      <x:c r="K9" s="97" t="str"/>
      <x:c r="L9" s="98" t="str"/>
      <x:c r="M9" s="96" t="str"/>
      <x:c r="N9" s="97" t="str"/>
      <x:c r="O9" s="98" t="str"/>
    </x:row>
    <x:row r="10">
      <x:c r="A10" s="41" t="str"/>
      <x:c r="B10" s="42" t="str"/>
      <x:c r="C10" s="43" t="str"/>
      <x:c r="D10" s="90" t="str"/>
      <x:c r="E10" s="91" t="str"/>
      <x:c r="F10" s="92" t="str"/>
      <x:c r="G10" s="90" t="str"/>
      <x:c r="H10" s="91" t="str"/>
      <x:c r="I10" s="92" t="str"/>
      <x:c r="J10" s="99" t="str"/>
      <x:c r="K10" s="100" t="str"/>
      <x:c r="L10" s="101" t="str"/>
      <x:c r="M10" s="99" t="str"/>
      <x:c r="N10" s="100" t="str"/>
      <x:c r="O10" s="101" t="str"/>
    </x:row>
    <x:row r="12">
      <x:c r="A12" s="103" t="str">
        <x:v>分数趋势</x:v>
      </x:c>
      <x:c r="B12" s="103" t="str">
        <x:v>分数趋势</x:v>
      </x:c>
      <x:c r="C12" s="103" t="str">
        <x:v>分数趋势</x:v>
      </x:c>
      <x:c r="D12" s="103" t="str">
        <x:v>分数趋势</x:v>
      </x:c>
      <x:c r="E12" s="103" t="str">
        <x:v>分数趋势</x:v>
      </x:c>
      <x:c r="F12" s="103" t="str">
        <x:v>分数趋势</x:v>
      </x:c>
      <x:c r="G12" s="103" t="str">
        <x:v>分数趋势</x:v>
      </x:c>
      <x:c r="H12" s="103" t="str">
        <x:v>分数趋势</x:v>
      </x:c>
      <x:c r="I12" s="110" t="str">
        <x:v>弱项概览</x:v>
      </x:c>
      <x:c r="J12" s="110" t="str">
        <x:v>弱项概览</x:v>
      </x:c>
      <x:c r="K12" s="110" t="str">
        <x:v>弱项概览</x:v>
      </x:c>
      <x:c r="L12" s="110" t="str">
        <x:v>弱项概览</x:v>
      </x:c>
      <x:c r="M12" s="110" t="str">
        <x:v>弱项概览</x:v>
      </x:c>
      <x:c r="N12" s="110" t="str">
        <x:v>弱项概览</x:v>
      </x:c>
      <x:c r="O12" s="110" t="str">
        <x:v>弱项概览</x:v>
      </x:c>
    </x:row>
    <x:row r="31">
      <x:c r="A31" s="113" t="str">
        <x:v>日期</x:v>
      </x:c>
      <x:c r="B31" s="113" t="str">
        <x:v>剑雅</x:v>
      </x:c>
      <x:c r="C31" s="113" t="str">
        <x:v>Test</x:v>
      </x:c>
      <x:c r="D31" s="113" t="str">
        <x:v>次数</x:v>
      </x:c>
      <x:c r="E31" s="113" t="str">
        <x:v>听力</x:v>
      </x:c>
      <x:c r="F31" s="113" t="str">
        <x:v>阅读</x:v>
      </x:c>
      <x:c r="G31" s="113" t="str">
        <x:v>综合</x:v>
      </x:c>
      <x:c r="I31" s="9" t="str">
        <x:v>最近记录会自动出现在左侧；图表使用右侧趋势数据，不需要手动维护。</x:v>
      </x:c>
      <x:c r="J31" s="9" t="str">
        <x:v>最近记录会自动出现在左侧；图表使用右侧趋势数据，不需要手动维护。</x:v>
      </x:c>
      <x:c r="K31" s="9" t="str">
        <x:v>最近记录会自动出现在左侧；图表使用右侧趋势数据，不需要手动维护。</x:v>
      </x:c>
      <x:c r="L31" s="9" t="str">
        <x:v>最近记录会自动出现在左侧；图表使用右侧趋势数据，不需要手动维护。</x:v>
      </x:c>
      <x:c r="M31" s="9" t="str">
        <x:v>最近记录会自动出现在左侧；图表使用右侧趋势数据，不需要手动维护。</x:v>
      </x:c>
      <x:c r="N31" s="9" t="str">
        <x:v>最近记录会自动出现在左侧；图表使用右侧趋势数据，不需要手动维护。</x:v>
      </x:c>
      <x:c r="O31" s="9" t="str">
        <x:v>最近记录会自动出现在左侧；图表使用右侧趋势数据，不需要手动维护。</x:v>
      </x:c>
    </x:row>
    <x:row r="32">
      <x:c r="A32" s="114" t="str">
        <x:f>IF('趋势数据'!$K$5="","",'趋势数据'!$A$5)</x:f>
      </x:c>
      <x:c r="B32" s="115" t="str">
        <x:f>IF('趋势数据'!$K$5="","",'趋势数据'!$B$5)</x:f>
      </x:c>
      <x:c r="C32" s="115" t="str">
        <x:f>IF('趋势数据'!$K$5="","",'趋势数据'!$C$5)</x:f>
      </x:c>
      <x:c r="D32" s="115" t="str">
        <x:f>IF('趋势数据'!$K$5="","",'趋势数据'!$D$5)</x:f>
      </x:c>
      <x:c r="E32" s="116" t="str">
        <x:f>IF('趋势数据'!$K$5="","",'趋势数据'!$E$5)</x:f>
      </x:c>
      <x:c r="F32" s="116" t="str">
        <x:f>IF('趋势数据'!$K$5="","",'趋势数据'!$F$5)</x:f>
      </x:c>
      <x:c r="G32" s="116" t="str">
        <x:f>IF('趋势数据'!$K$5="","",'趋势数据'!$G$5)</x:f>
      </x:c>
    </x:row>
    <x:row r="33">
      <x:c r="A33" s="114" t="str">
        <x:f>IF('趋势数据'!$K$6="","",'趋势数据'!$A$6)</x:f>
      </x:c>
      <x:c r="B33" s="115" t="str">
        <x:f>IF('趋势数据'!$K$6="","",'趋势数据'!$B$6)</x:f>
      </x:c>
      <x:c r="C33" s="115" t="str">
        <x:f>IF('趋势数据'!$K$6="","",'趋势数据'!$C$6)</x:f>
      </x:c>
      <x:c r="D33" s="115" t="str">
        <x:f>IF('趋势数据'!$K$6="","",'趋势数据'!$D$6)</x:f>
      </x:c>
      <x:c r="E33" s="116" t="str">
        <x:f>IF('趋势数据'!$K$6="","",'趋势数据'!$E$6)</x:f>
      </x:c>
      <x:c r="F33" s="116" t="str">
        <x:f>IF('趋势数据'!$K$6="","",'趋势数据'!$F$6)</x:f>
      </x:c>
      <x:c r="G33" s="116" t="str">
        <x:f>IF('趋势数据'!$K$6="","",'趋势数据'!$G$6)</x:f>
      </x:c>
    </x:row>
    <x:row r="34">
      <x:c r="A34" s="114" t="str">
        <x:f>IF('趋势数据'!$K$7="","",'趋势数据'!$A$7)</x:f>
      </x:c>
      <x:c r="B34" s="115" t="str">
        <x:f>IF('趋势数据'!$K$7="","",'趋势数据'!$B$7)</x:f>
      </x:c>
      <x:c r="C34" s="115" t="str">
        <x:f>IF('趋势数据'!$K$7="","",'趋势数据'!$C$7)</x:f>
      </x:c>
      <x:c r="D34" s="115" t="str">
        <x:f>IF('趋势数据'!$K$7="","",'趋势数据'!$D$7)</x:f>
      </x:c>
      <x:c r="E34" s="116" t="str">
        <x:f>IF('趋势数据'!$K$7="","",'趋势数据'!$E$7)</x:f>
      </x:c>
      <x:c r="F34" s="116" t="str">
        <x:f>IF('趋势数据'!$K$7="","",'趋势数据'!$F$7)</x:f>
      </x:c>
      <x:c r="G34" s="116" t="str">
        <x:f>IF('趋势数据'!$K$7="","",'趋势数据'!$G$7)</x:f>
      </x:c>
    </x:row>
    <x:row r="35">
      <x:c r="A35" s="114" t="str">
        <x:f>IF('趋势数据'!$K$8="","",'趋势数据'!$A$8)</x:f>
      </x:c>
      <x:c r="B35" s="115" t="str">
        <x:f>IF('趋势数据'!$K$8="","",'趋势数据'!$B$8)</x:f>
      </x:c>
      <x:c r="C35" s="115" t="str">
        <x:f>IF('趋势数据'!$K$8="","",'趋势数据'!$C$8)</x:f>
      </x:c>
      <x:c r="D35" s="115" t="str">
        <x:f>IF('趋势数据'!$K$8="","",'趋势数据'!$D$8)</x:f>
      </x:c>
      <x:c r="E35" s="116" t="str">
        <x:f>IF('趋势数据'!$K$8="","",'趋势数据'!$E$8)</x:f>
      </x:c>
      <x:c r="F35" s="116" t="str">
        <x:f>IF('趋势数据'!$K$8="","",'趋势数据'!$F$8)</x:f>
      </x:c>
      <x:c r="G35" s="116" t="str">
        <x:f>IF('趋势数据'!$K$8="","",'趋势数据'!$G$8)</x:f>
      </x:c>
    </x:row>
    <x:row r="36">
      <x:c r="A36" s="114" t="str">
        <x:f>IF('趋势数据'!$K$9="","",'趋势数据'!$A$9)</x:f>
      </x:c>
      <x:c r="B36" s="115" t="str">
        <x:f>IF('趋势数据'!$K$9="","",'趋势数据'!$B$9)</x:f>
      </x:c>
      <x:c r="C36" s="115" t="str">
        <x:f>IF('趋势数据'!$K$9="","",'趋势数据'!$C$9)</x:f>
      </x:c>
      <x:c r="D36" s="115" t="str">
        <x:f>IF('趋势数据'!$K$9="","",'趋势数据'!$D$9)</x:f>
      </x:c>
      <x:c r="E36" s="116" t="str">
        <x:f>IF('趋势数据'!$K$9="","",'趋势数据'!$E$9)</x:f>
      </x:c>
      <x:c r="F36" s="116" t="str">
        <x:f>IF('趋势数据'!$K$9="","",'趋势数据'!$F$9)</x:f>
      </x:c>
      <x:c r="G36" s="116" t="str">
        <x:f>IF('趋势数据'!$K$9="","",'趋势数据'!$G$9)</x:f>
      </x:c>
    </x:row>
    <x:row r="37">
      <x:c r="A37" s="114" t="str">
        <x:f>IF('趋势数据'!$K$10="","",'趋势数据'!$A$10)</x:f>
      </x:c>
      <x:c r="B37" s="115" t="str">
        <x:f>IF('趋势数据'!$K$10="","",'趋势数据'!$B$10)</x:f>
      </x:c>
      <x:c r="C37" s="115" t="str">
        <x:f>IF('趋势数据'!$K$10="","",'趋势数据'!$C$10)</x:f>
      </x:c>
      <x:c r="D37" s="115" t="str">
        <x:f>IF('趋势数据'!$K$10="","",'趋势数据'!$D$10)</x:f>
      </x:c>
      <x:c r="E37" s="116" t="str">
        <x:f>IF('趋势数据'!$K$10="","",'趋势数据'!$E$10)</x:f>
      </x:c>
      <x:c r="F37" s="116" t="str">
        <x:f>IF('趋势数据'!$K$10="","",'趋势数据'!$F$10)</x:f>
      </x:c>
      <x:c r="G37" s="116" t="str">
        <x:f>IF('趋势数据'!$K$10="","",'趋势数据'!$G$10)</x:f>
      </x:c>
    </x:row>
    <x:row r="38">
      <x:c r="A38" s="114" t="str">
        <x:f>IF('趋势数据'!$K$11="","",'趋势数据'!$A$11)</x:f>
      </x:c>
      <x:c r="B38" s="115" t="str">
        <x:f>IF('趋势数据'!$K$11="","",'趋势数据'!$B$11)</x:f>
      </x:c>
      <x:c r="C38" s="115" t="str">
        <x:f>IF('趋势数据'!$K$11="","",'趋势数据'!$C$11)</x:f>
      </x:c>
      <x:c r="D38" s="115" t="str">
        <x:f>IF('趋势数据'!$K$11="","",'趋势数据'!$D$11)</x:f>
      </x:c>
      <x:c r="E38" s="116" t="str">
        <x:f>IF('趋势数据'!$K$11="","",'趋势数据'!$E$11)</x:f>
      </x:c>
      <x:c r="F38" s="116" t="str">
        <x:f>IF('趋势数据'!$K$11="","",'趋势数据'!$F$11)</x:f>
      </x:c>
      <x:c r="G38" s="116" t="str">
        <x:f>IF('趋势数据'!$K$11="","",'趋势数据'!$G$11)</x:f>
      </x:c>
    </x:row>
    <x:row r="39">
      <x:c r="A39" s="114" t="str">
        <x:f>IF('趋势数据'!$K$12="","",'趋势数据'!$A$12)</x:f>
      </x:c>
      <x:c r="B39" s="115" t="str">
        <x:f>IF('趋势数据'!$K$12="","",'趋势数据'!$B$12)</x:f>
      </x:c>
      <x:c r="C39" s="115" t="str">
        <x:f>IF('趋势数据'!$K$12="","",'趋势数据'!$C$12)</x:f>
      </x:c>
      <x:c r="D39" s="115" t="str">
        <x:f>IF('趋势数据'!$K$12="","",'趋势数据'!$D$12)</x:f>
      </x:c>
      <x:c r="E39" s="116" t="str">
        <x:f>IF('趋势数据'!$K$12="","",'趋势数据'!$E$12)</x:f>
      </x:c>
      <x:c r="F39" s="116" t="str">
        <x:f>IF('趋势数据'!$K$12="","",'趋势数据'!$F$12)</x:f>
      </x:c>
      <x:c r="G39" s="116" t="str">
        <x:f>IF('趋势数据'!$K$12="","",'趋势数据'!$G$12)</x:f>
      </x:c>
    </x:row>
    <x:row r="40">
      <x:c r="A40" s="114" t="str">
        <x:f>IF('趋势数据'!$K$13="","",'趋势数据'!$A$13)</x:f>
      </x:c>
      <x:c r="B40" s="115" t="str">
        <x:f>IF('趋势数据'!$K$13="","",'趋势数据'!$B$13)</x:f>
      </x:c>
      <x:c r="C40" s="115" t="str">
        <x:f>IF('趋势数据'!$K$13="","",'趋势数据'!$C$13)</x:f>
      </x:c>
      <x:c r="D40" s="115" t="str">
        <x:f>IF('趋势数据'!$K$13="","",'趋势数据'!$D$13)</x:f>
      </x:c>
      <x:c r="E40" s="116" t="str">
        <x:f>IF('趋势数据'!$K$13="","",'趋势数据'!$E$13)</x:f>
      </x:c>
      <x:c r="F40" s="116" t="str">
        <x:f>IF('趋势数据'!$K$13="","",'趋势数据'!$F$13)</x:f>
      </x:c>
      <x:c r="G40" s="116" t="str">
        <x:f>IF('趋势数据'!$K$13="","",'趋势数据'!$G$13)</x:f>
      </x:c>
    </x:row>
    <x:row r="41">
      <x:c r="A41" s="114" t="str">
        <x:f>IF('趋势数据'!$K$14="","",'趋势数据'!$A$14)</x:f>
      </x:c>
      <x:c r="B41" s="115" t="str">
        <x:f>IF('趋势数据'!$K$14="","",'趋势数据'!$B$14)</x:f>
      </x:c>
      <x:c r="C41" s="115" t="str">
        <x:f>IF('趋势数据'!$K$14="","",'趋势数据'!$C$14)</x:f>
      </x:c>
      <x:c r="D41" s="115" t="str">
        <x:f>IF('趋势数据'!$K$14="","",'趋势数据'!$D$14)</x:f>
      </x:c>
      <x:c r="E41" s="116" t="str">
        <x:f>IF('趋势数据'!$K$14="","",'趋势数据'!$E$14)</x:f>
      </x:c>
      <x:c r="F41" s="116" t="str">
        <x:f>IF('趋势数据'!$K$14="","",'趋势数据'!$F$14)</x:f>
      </x:c>
      <x:c r="G41" s="116" t="str">
        <x:f>IF('趋势数据'!$K$14="","",'趋势数据'!$G$14)</x:f>
      </x:c>
    </x:row>
    <x:row r="42">
      <x:c r="A42" s="114" t="str">
        <x:f>IF('趋势数据'!$K$15="","",'趋势数据'!$A$15)</x:f>
      </x:c>
      <x:c r="B42" s="115" t="str">
        <x:f>IF('趋势数据'!$K$15="","",'趋势数据'!$B$15)</x:f>
      </x:c>
      <x:c r="C42" s="115" t="str">
        <x:f>IF('趋势数据'!$K$15="","",'趋势数据'!$C$15)</x:f>
      </x:c>
      <x:c r="D42" s="115" t="str">
        <x:f>IF('趋势数据'!$K$15="","",'趋势数据'!$D$15)</x:f>
      </x:c>
      <x:c r="E42" s="116" t="str">
        <x:f>IF('趋势数据'!$K$15="","",'趋势数据'!$E$15)</x:f>
      </x:c>
      <x:c r="F42" s="116" t="str">
        <x:f>IF('趋势数据'!$K$15="","",'趋势数据'!$F$15)</x:f>
      </x:c>
      <x:c r="G42" s="116" t="str">
        <x:f>IF('趋势数据'!$K$15="","",'趋势数据'!$G$15)</x:f>
      </x:c>
    </x:row>
    <x:row r="43">
      <x:c r="A43" s="114" t="str">
        <x:f>IF('趋势数据'!$K$16="","",'趋势数据'!$A$16)</x:f>
      </x:c>
      <x:c r="B43" s="115" t="str">
        <x:f>IF('趋势数据'!$K$16="","",'趋势数据'!$B$16)</x:f>
      </x:c>
      <x:c r="C43" s="115" t="str">
        <x:f>IF('趋势数据'!$K$16="","",'趋势数据'!$C$16)</x:f>
      </x:c>
      <x:c r="D43" s="115" t="str">
        <x:f>IF('趋势数据'!$K$16="","",'趋势数据'!$D$16)</x:f>
      </x:c>
      <x:c r="E43" s="116" t="str">
        <x:f>IF('趋势数据'!$K$16="","",'趋势数据'!$E$16)</x:f>
      </x:c>
      <x:c r="F43" s="116" t="str">
        <x:f>IF('趋势数据'!$K$16="","",'趋势数据'!$F$16)</x:f>
      </x:c>
      <x:c r="G43" s="116" t="str">
        <x:f>IF('趋势数据'!$K$16="","",'趋势数据'!$G$16)</x:f>
      </x:c>
    </x:row>
  </x:sheetData>
  <x:mergeCells>
    <x:mergeCell ref="A1:O1"/>
    <x:mergeCell ref="A2:O2"/>
    <x:mergeCell ref="A7:C7"/>
    <x:mergeCell ref="A8:C10"/>
    <x:mergeCell ref="D7:F7"/>
    <x:mergeCell ref="D8:F10"/>
    <x:mergeCell ref="G7:I7"/>
    <x:mergeCell ref="G8:I10"/>
    <x:mergeCell ref="J7:L7"/>
    <x:mergeCell ref="J8:L10"/>
    <x:mergeCell ref="M7:O7"/>
    <x:mergeCell ref="M8:O10"/>
    <x:mergeCell ref="A12:H12"/>
    <x:mergeCell ref="I12:O12"/>
    <x:mergeCell ref="I31:O31"/>
  </x:mergeCells>
  <x:pageMargins left="0.7" right="0.7" top="0.75" bottom="0.75" header="0.3" footer="0.3"/>
  <x:drawing xmlns:r="http://schemas.openxmlformats.org/officeDocument/2006/relationships" r:id="R9fd8d31477174b9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" hidden="0" customWidth="1"/>
    <x:col min="3" max="3" width="9" hidden="0" customWidth="1"/>
    <x:col min="4" max="4" width="9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26" hidden="0" customWidth="1"/>
  </x:cols>
  <x:sheetData>
    <x:row r="1" ht="30" customHeight="1">
      <x:c r="A1" s="7" t="str">
        <x:v>雅思练习成绩记录</x:v>
      </x:c>
      <x:c r="B1" s="7" t="str">
        <x:v>雅思练习成绩记录</x:v>
      </x:c>
      <x:c r="C1" s="7" t="str">
        <x:v>雅思练习成绩记录</x:v>
      </x:c>
      <x:c r="D1" s="7" t="str">
        <x:v>雅思练习成绩记录</x:v>
      </x:c>
      <x:c r="E1" s="7" t="str">
        <x:v>雅思练习成绩记录</x:v>
      </x:c>
      <x:c r="F1" s="7" t="str">
        <x:v>雅思练习成绩记录</x:v>
      </x:c>
      <x:c r="G1" s="7" t="str">
        <x:v>雅思练习成绩记录</x:v>
      </x:c>
      <x:c r="H1" s="7" t="str">
        <x:v>雅思练习成绩记录</x:v>
      </x:c>
      <x:c r="I1" s="7" t="str">
        <x:v>雅思练习成绩记录</x:v>
      </x:c>
      <x:c r="J1" s="7" t="str">
        <x:v>雅思练习成绩记录</x:v>
      </x:c>
      <x:c r="K1" s="7" t="str">
        <x:v>雅思练习成绩记录</x:v>
      </x:c>
      <x:c r="L1" s="7" t="str">
        <x:v>雅思练习成绩记录</x:v>
      </x:c>
      <x:c r="M1" s="7" t="str">
        <x:v>雅思练习成绩记录</x:v>
      </x:c>
      <x:c r="N1" s="7" t="str">
        <x:v>雅思练习成绩记录</x:v>
      </x:c>
      <x:c r="O1" s="7" t="str">
        <x:v>雅思练习成绩记录</x:v>
      </x:c>
      <x:c r="P1" s="7" t="str">
        <x:v>雅思练习成绩记录</x:v>
      </x:c>
      <x:c r="Q1" s="7" t="str">
        <x:v>雅思练习成绩记录</x:v>
      </x:c>
      <x:c r="R1" s="131" t="str">
        <x:v>雅思练习成绩记录</x:v>
      </x:c>
    </x:row>
    <x:row r="2" ht="24" customHeight="1">
      <x:c r="A2" s="10" t="str">
        <x:v>每 4 行为一组：左侧“剑雅”单元格合并对应 Test 1-4。同一 Test 复刷时，复制一组继续记录即可。</x:v>
      </x:c>
      <x:c r="B2" s="10" t="str">
        <x:v>每 4 行为一组：左侧“剑雅”单元格合并对应 Test 1-4。同一 Test 复刷时，复制一组继续记录即可。</x:v>
      </x:c>
      <x:c r="C2" s="10" t="str">
        <x:v>每 4 行为一组：左侧“剑雅”单元格合并对应 Test 1-4。同一 Test 复刷时，复制一组继续记录即可。</x:v>
      </x:c>
      <x:c r="D2" s="10" t="str">
        <x:v>每 4 行为一组：左侧“剑雅”单元格合并对应 Test 1-4。同一 Test 复刷时，复制一组继续记录即可。</x:v>
      </x:c>
      <x:c r="E2" s="10" t="str">
        <x:v>每 4 行为一组：左侧“剑雅”单元格合并对应 Test 1-4。同一 Test 复刷时，复制一组继续记录即可。</x:v>
      </x:c>
      <x:c r="F2" s="10" t="str">
        <x:v>每 4 行为一组：左侧“剑雅”单元格合并对应 Test 1-4。同一 Test 复刷时，复制一组继续记录即可。</x:v>
      </x:c>
      <x:c r="G2" s="10" t="str">
        <x:v>每 4 行为一组：左侧“剑雅”单元格合并对应 Test 1-4。同一 Test 复刷时，复制一组继续记录即可。</x:v>
      </x:c>
      <x:c r="H2" s="10" t="str">
        <x:v>每 4 行为一组：左侧“剑雅”单元格合并对应 Test 1-4。同一 Test 复刷时，复制一组继续记录即可。</x:v>
      </x:c>
      <x:c r="I2" s="10" t="str">
        <x:v>每 4 行为一组：左侧“剑雅”单元格合并对应 Test 1-4。同一 Test 复刷时，复制一组继续记录即可。</x:v>
      </x:c>
      <x:c r="J2" s="10" t="str">
        <x:v>每 4 行为一组：左侧“剑雅”单元格合并对应 Test 1-4。同一 Test 复刷时，复制一组继续记录即可。</x:v>
      </x:c>
      <x:c r="K2" s="10" t="str">
        <x:v>每 4 行为一组：左侧“剑雅”单元格合并对应 Test 1-4。同一 Test 复刷时，复制一组继续记录即可。</x:v>
      </x:c>
      <x:c r="L2" s="10" t="str">
        <x:v>每 4 行为一组：左侧“剑雅”单元格合并对应 Test 1-4。同一 Test 复刷时，复制一组继续记录即可。</x:v>
      </x:c>
      <x:c r="M2" s="10" t="str">
        <x:v>每 4 行为一组：左侧“剑雅”单元格合并对应 Test 1-4。同一 Test 复刷时，复制一组继续记录即可。</x:v>
      </x:c>
      <x:c r="N2" s="10" t="str">
        <x:v>每 4 行为一组：左侧“剑雅”单元格合并对应 Test 1-4。同一 Test 复刷时，复制一组继续记录即可。</x:v>
      </x:c>
      <x:c r="O2" s="10" t="str">
        <x:v>每 4 行为一组：左侧“剑雅”单元格合并对应 Test 1-4。同一 Test 复刷时，复制一组继续记录即可。</x:v>
      </x:c>
      <x:c r="P2" s="10" t="str">
        <x:v>每 4 行为一组：左侧“剑雅”单元格合并对应 Test 1-4。同一 Test 复刷时，复制一组继续记录即可。</x:v>
      </x:c>
      <x:c r="Q2" s="10" t="str">
        <x:v>每 4 行为一组：左侧“剑雅”单元格合并对应 Test 1-4。同一 Test 复刷时，复制一组继续记录即可。</x:v>
      </x:c>
      <x:c r="R2" s="10" t="str">
        <x:v>每 4 行为一组：左侧“剑雅”单元格合并对应 Test 1-4。同一 Test 复刷时，复制一组继续记录即可。</x:v>
      </x:c>
    </x:row>
    <x:row r="4">
      <x:c r="A4" s="103" t="str">
        <x:v>日期</x:v>
      </x:c>
      <x:c r="B4" s="103" t="str">
        <x:v>剑雅</x:v>
      </x:c>
      <x:c r="C4" s="103" t="str">
        <x:v>Test</x:v>
      </x:c>
      <x:c r="D4" s="103" t="str">
        <x:v>次数</x:v>
      </x:c>
      <x:c r="E4" s="103" t="str">
        <x:v>听力 S1</x:v>
      </x:c>
      <x:c r="F4" s="103" t="str">
        <x:v>听力 S2</x:v>
      </x:c>
      <x:c r="G4" s="103" t="str">
        <x:v>听力 S3</x:v>
      </x:c>
      <x:c r="H4" s="103" t="str">
        <x:v>听力 S4</x:v>
      </x:c>
      <x:c r="I4" s="103" t="str">
        <x:v>听力总对</x:v>
      </x:c>
      <x:c r="J4" s="103" t="str">
        <x:v>听力分数</x:v>
      </x:c>
      <x:c r="K4" s="103" t="str">
        <x:v>阅读 Passage 1</x:v>
      </x:c>
      <x:c r="L4" s="103" t="str">
        <x:v>阅读 Passage 2</x:v>
      </x:c>
      <x:c r="M4" s="103" t="str">
        <x:v>阅读 Passage 3</x:v>
      </x:c>
      <x:c r="N4" s="103" t="str">
        <x:v>阅读总对</x:v>
      </x:c>
      <x:c r="O4" s="103" t="str">
        <x:v>阅读分数</x:v>
      </x:c>
      <x:c r="P4" s="103" t="str">
        <x:v>综合均分</x:v>
      </x:c>
      <x:c r="Q4" s="103" t="str">
        <x:v>目标差距</x:v>
      </x:c>
      <x:c r="R4" s="103" t="str">
        <x:v>备注</x:v>
      </x:c>
    </x:row>
    <x:row r="5">
      <x:c r="A5" s="126"/>
      <x:c r="B5" s="127"/>
      <x:c r="C5" s="128" t="n">
        <x:v>1</x:v>
      </x:c>
      <x:c r="D5" s="128"/>
      <x:c r="E5" s="128"/>
      <x:c r="F5" s="128"/>
      <x:c r="G5" s="128"/>
      <x:c r="H5" s="128"/>
      <x:c r="I5" s="129" t="str">
        <x:f>IF(COUNTA(E5:H5)=0,"",SUM(E5:H5))</x:f>
      </x:c>
      <x:c r="J5" s="130" t="str">
        <x:f>IF(I5="","",INDEX('评分规则'!$B$4:$B$44,MATCH(I5,'评分规则'!$A$4:$A$44,1)))</x:f>
      </x:c>
      <x:c r="K5" s="128"/>
      <x:c r="L5" s="128"/>
      <x:c r="M5" s="128"/>
      <x:c r="N5" s="129" t="str">
        <x:f>IF(COUNTA(K5:M5)=0,"",SUM(K5:M5))</x:f>
      </x:c>
      <x:c r="O5" s="130" t="str">
        <x:f>IF(N5="","",INDEX('评分规则'!$E$4:$E$44,MATCH(N5,'评分规则'!$D$4:$D$44,1)))</x:f>
      </x:c>
      <x:c r="P5" s="130" t="str">
        <x:f>IF(AND(J5="",O5=""),"",AVERAGE(J5,O5))</x:f>
      </x:c>
      <x:c r="Q5" s="130" t="str">
        <x:f>IF(P5="","",P5-'总览仪表盘'!$C$5)</x:f>
      </x:c>
      <x:c r="R5" s="19"/>
    </x:row>
    <x:row r="6">
      <x:c r="A6" s="126"/>
      <x:c r="B6" s="127"/>
      <x:c r="C6" s="128" t="n">
        <x:v>2</x:v>
      </x:c>
      <x:c r="D6" s="128"/>
      <x:c r="E6" s="128"/>
      <x:c r="F6" s="128"/>
      <x:c r="G6" s="128"/>
      <x:c r="H6" s="128"/>
      <x:c r="I6" s="129" t="str">
        <x:f>IF(COUNTA(E6:H6)=0,"",SUM(E6:H6))</x:f>
      </x:c>
      <x:c r="J6" s="130" t="str">
        <x:f>IF(I6="","",INDEX('评分规则'!$B$4:$B$44,MATCH(I6,'评分规则'!$A$4:$A$44,1)))</x:f>
      </x:c>
      <x:c r="K6" s="128"/>
      <x:c r="L6" s="128"/>
      <x:c r="M6" s="128"/>
      <x:c r="N6" s="129" t="str">
        <x:f>IF(COUNTA(K6:M6)=0,"",SUM(K6:M6))</x:f>
      </x:c>
      <x:c r="O6" s="130" t="str">
        <x:f>IF(N6="","",INDEX('评分规则'!$E$4:$E$44,MATCH(N6,'评分规则'!$D$4:$D$44,1)))</x:f>
      </x:c>
      <x:c r="P6" s="130" t="str">
        <x:f>IF(AND(J6="",O6=""),"",AVERAGE(J6,O6))</x:f>
      </x:c>
      <x:c r="Q6" s="130" t="str">
        <x:f>IF(P6="","",P6-'总览仪表盘'!$C$5)</x:f>
      </x:c>
      <x:c r="R6" s="19"/>
    </x:row>
    <x:row r="7">
      <x:c r="A7" s="126"/>
      <x:c r="B7" s="127"/>
      <x:c r="C7" s="128" t="n">
        <x:v>3</x:v>
      </x:c>
      <x:c r="D7" s="128"/>
      <x:c r="E7" s="128"/>
      <x:c r="F7" s="128"/>
      <x:c r="G7" s="128"/>
      <x:c r="H7" s="128"/>
      <x:c r="I7" s="129" t="str">
        <x:f>IF(COUNTA(E7:H7)=0,"",SUM(E7:H7))</x:f>
      </x:c>
      <x:c r="J7" s="130" t="str">
        <x:f>IF(I7="","",INDEX('评分规则'!$B$4:$B$44,MATCH(I7,'评分规则'!$A$4:$A$44,1)))</x:f>
      </x:c>
      <x:c r="K7" s="128"/>
      <x:c r="L7" s="128"/>
      <x:c r="M7" s="128"/>
      <x:c r="N7" s="129" t="str">
        <x:f>IF(COUNTA(K7:M7)=0,"",SUM(K7:M7))</x:f>
      </x:c>
      <x:c r="O7" s="130" t="str">
        <x:f>IF(N7="","",INDEX('评分规则'!$E$4:$E$44,MATCH(N7,'评分规则'!$D$4:$D$44,1)))</x:f>
      </x:c>
      <x:c r="P7" s="130" t="str">
        <x:f>IF(AND(J7="",O7=""),"",AVERAGE(J7,O7))</x:f>
      </x:c>
      <x:c r="Q7" s="130" t="str">
        <x:f>IF(P7="","",P7-'总览仪表盘'!$C$5)</x:f>
      </x:c>
      <x:c r="R7" s="19"/>
    </x:row>
    <x:row r="8">
      <x:c r="A8" s="126"/>
      <x:c r="B8" s="127"/>
      <x:c r="C8" s="128" t="n">
        <x:v>4</x:v>
      </x:c>
      <x:c r="D8" s="128"/>
      <x:c r="E8" s="128"/>
      <x:c r="F8" s="128"/>
      <x:c r="G8" s="128"/>
      <x:c r="H8" s="128"/>
      <x:c r="I8" s="129" t="str">
        <x:f>IF(COUNTA(E8:H8)=0,"",SUM(E8:H8))</x:f>
      </x:c>
      <x:c r="J8" s="130" t="str">
        <x:f>IF(I8="","",INDEX('评分规则'!$B$4:$B$44,MATCH(I8,'评分规则'!$A$4:$A$44,1)))</x:f>
      </x:c>
      <x:c r="K8" s="128"/>
      <x:c r="L8" s="128"/>
      <x:c r="M8" s="128"/>
      <x:c r="N8" s="129" t="str">
        <x:f>IF(COUNTA(K8:M8)=0,"",SUM(K8:M8))</x:f>
      </x:c>
      <x:c r="O8" s="130" t="str">
        <x:f>IF(N8="","",INDEX('评分规则'!$E$4:$E$44,MATCH(N8,'评分规则'!$D$4:$D$44,1)))</x:f>
      </x:c>
      <x:c r="P8" s="130" t="str">
        <x:f>IF(AND(J8="",O8=""),"",AVERAGE(J8,O8))</x:f>
      </x:c>
      <x:c r="Q8" s="130" t="str">
        <x:f>IF(P8="","",P8-'总览仪表盘'!$C$5)</x:f>
      </x:c>
      <x:c r="R8" s="19"/>
    </x:row>
    <x:row r="9">
      <x:c r="A9" s="126"/>
      <x:c r="B9" s="127"/>
      <x:c r="C9" s="128" t="n">
        <x:v>1</x:v>
      </x:c>
      <x:c r="D9" s="128"/>
      <x:c r="E9" s="128"/>
      <x:c r="F9" s="128"/>
      <x:c r="G9" s="128"/>
      <x:c r="H9" s="128"/>
      <x:c r="I9" s="129" t="str">
        <x:f>IF(COUNTA(E9:H9)=0,"",SUM(E9:H9))</x:f>
      </x:c>
      <x:c r="J9" s="130" t="str">
        <x:f>IF(I9="","",INDEX('评分规则'!$B$4:$B$44,MATCH(I9,'评分规则'!$A$4:$A$44,1)))</x:f>
      </x:c>
      <x:c r="K9" s="128"/>
      <x:c r="L9" s="128"/>
      <x:c r="M9" s="128"/>
      <x:c r="N9" s="129" t="str">
        <x:f>IF(COUNTA(K9:M9)=0,"",SUM(K9:M9))</x:f>
      </x:c>
      <x:c r="O9" s="130" t="str">
        <x:f>IF(N9="","",INDEX('评分规则'!$E$4:$E$44,MATCH(N9,'评分规则'!$D$4:$D$44,1)))</x:f>
      </x:c>
      <x:c r="P9" s="130" t="str">
        <x:f>IF(AND(J9="",O9=""),"",AVERAGE(J9,O9))</x:f>
      </x:c>
      <x:c r="Q9" s="130" t="str">
        <x:f>IF(P9="","",P9-'总览仪表盘'!$C$5)</x:f>
      </x:c>
      <x:c r="R9" s="19"/>
    </x:row>
    <x:row r="10">
      <x:c r="A10" s="126"/>
      <x:c r="B10" s="127"/>
      <x:c r="C10" s="128" t="n">
        <x:v>2</x:v>
      </x:c>
      <x:c r="D10" s="128"/>
      <x:c r="E10" s="128"/>
      <x:c r="F10" s="128"/>
      <x:c r="G10" s="128"/>
      <x:c r="H10" s="128"/>
      <x:c r="I10" s="129" t="str">
        <x:f>IF(COUNTA(E10:H10)=0,"",SUM(E10:H10))</x:f>
      </x:c>
      <x:c r="J10" s="130" t="str">
        <x:f>IF(I10="","",INDEX('评分规则'!$B$4:$B$44,MATCH(I10,'评分规则'!$A$4:$A$44,1)))</x:f>
      </x:c>
      <x:c r="K10" s="128"/>
      <x:c r="L10" s="128"/>
      <x:c r="M10" s="128"/>
      <x:c r="N10" s="129" t="str">
        <x:f>IF(COUNTA(K10:M10)=0,"",SUM(K10:M10))</x:f>
      </x:c>
      <x:c r="O10" s="130" t="str">
        <x:f>IF(N10="","",INDEX('评分规则'!$E$4:$E$44,MATCH(N10,'评分规则'!$D$4:$D$44,1)))</x:f>
      </x:c>
      <x:c r="P10" s="130" t="str">
        <x:f>IF(AND(J10="",O10=""),"",AVERAGE(J10,O10))</x:f>
      </x:c>
      <x:c r="Q10" s="130" t="str">
        <x:f>IF(P10="","",P10-'总览仪表盘'!$C$5)</x:f>
      </x:c>
      <x:c r="R10" s="19"/>
    </x:row>
    <x:row r="11">
      <x:c r="A11" s="126"/>
      <x:c r="B11" s="127"/>
      <x:c r="C11" s="128" t="n">
        <x:v>3</x:v>
      </x:c>
      <x:c r="D11" s="128"/>
      <x:c r="E11" s="128"/>
      <x:c r="F11" s="128"/>
      <x:c r="G11" s="128"/>
      <x:c r="H11" s="128"/>
      <x:c r="I11" s="129" t="str">
        <x:f>IF(COUNTA(E11:H11)=0,"",SUM(E11:H11))</x:f>
      </x:c>
      <x:c r="J11" s="130" t="str">
        <x:f>IF(I11="","",INDEX('评分规则'!$B$4:$B$44,MATCH(I11,'评分规则'!$A$4:$A$44,1)))</x:f>
      </x:c>
      <x:c r="K11" s="128"/>
      <x:c r="L11" s="128"/>
      <x:c r="M11" s="128"/>
      <x:c r="N11" s="129" t="str">
        <x:f>IF(COUNTA(K11:M11)=0,"",SUM(K11:M11))</x:f>
      </x:c>
      <x:c r="O11" s="130" t="str">
        <x:f>IF(N11="","",INDEX('评分规则'!$E$4:$E$44,MATCH(N11,'评分规则'!$D$4:$D$44,1)))</x:f>
      </x:c>
      <x:c r="P11" s="130" t="str">
        <x:f>IF(AND(J11="",O11=""),"",AVERAGE(J11,O11))</x:f>
      </x:c>
      <x:c r="Q11" s="130" t="str">
        <x:f>IF(P11="","",P11-'总览仪表盘'!$C$5)</x:f>
      </x:c>
      <x:c r="R11" s="19"/>
    </x:row>
    <x:row r="12">
      <x:c r="A12" s="126"/>
      <x:c r="B12" s="127"/>
      <x:c r="C12" s="128" t="n">
        <x:v>4</x:v>
      </x:c>
      <x:c r="D12" s="128"/>
      <x:c r="E12" s="128"/>
      <x:c r="F12" s="128"/>
      <x:c r="G12" s="128"/>
      <x:c r="H12" s="128"/>
      <x:c r="I12" s="129" t="str">
        <x:f>IF(COUNTA(E12:H12)=0,"",SUM(E12:H12))</x:f>
      </x:c>
      <x:c r="J12" s="130" t="str">
        <x:f>IF(I12="","",INDEX('评分规则'!$B$4:$B$44,MATCH(I12,'评分规则'!$A$4:$A$44,1)))</x:f>
      </x:c>
      <x:c r="K12" s="128"/>
      <x:c r="L12" s="128"/>
      <x:c r="M12" s="128"/>
      <x:c r="N12" s="129" t="str">
        <x:f>IF(COUNTA(K12:M12)=0,"",SUM(K12:M12))</x:f>
      </x:c>
      <x:c r="O12" s="130" t="str">
        <x:f>IF(N12="","",INDEX('评分规则'!$E$4:$E$44,MATCH(N12,'评分规则'!$D$4:$D$44,1)))</x:f>
      </x:c>
      <x:c r="P12" s="130" t="str">
        <x:f>IF(AND(J12="",O12=""),"",AVERAGE(J12,O12))</x:f>
      </x:c>
      <x:c r="Q12" s="130" t="str">
        <x:f>IF(P12="","",P12-'总览仪表盘'!$C$5)</x:f>
      </x:c>
      <x:c r="R12" s="19"/>
    </x:row>
    <x:row r="13">
      <x:c r="A13" s="126"/>
      <x:c r="B13" s="127"/>
      <x:c r="C13" s="128" t="n">
        <x:v>1</x:v>
      </x:c>
      <x:c r="D13" s="128"/>
      <x:c r="E13" s="128"/>
      <x:c r="F13" s="128"/>
      <x:c r="G13" s="128"/>
      <x:c r="H13" s="128"/>
      <x:c r="I13" s="129" t="str">
        <x:f>IF(COUNTA(E13:H13)=0,"",SUM(E13:H13))</x:f>
      </x:c>
      <x:c r="J13" s="130" t="str">
        <x:f>IF(I13="","",INDEX('评分规则'!$B$4:$B$44,MATCH(I13,'评分规则'!$A$4:$A$44,1)))</x:f>
      </x:c>
      <x:c r="K13" s="128"/>
      <x:c r="L13" s="128"/>
      <x:c r="M13" s="128"/>
      <x:c r="N13" s="129" t="str">
        <x:f>IF(COUNTA(K13:M13)=0,"",SUM(K13:M13))</x:f>
      </x:c>
      <x:c r="O13" s="130" t="str">
        <x:f>IF(N13="","",INDEX('评分规则'!$E$4:$E$44,MATCH(N13,'评分规则'!$D$4:$D$44,1)))</x:f>
      </x:c>
      <x:c r="P13" s="130" t="str">
        <x:f>IF(AND(J13="",O13=""),"",AVERAGE(J13,O13))</x:f>
      </x:c>
      <x:c r="Q13" s="130" t="str">
        <x:f>IF(P13="","",P13-'总览仪表盘'!$C$5)</x:f>
      </x:c>
      <x:c r="R13" s="19"/>
    </x:row>
    <x:row r="14">
      <x:c r="A14" s="126"/>
      <x:c r="B14" s="127"/>
      <x:c r="C14" s="128" t="n">
        <x:v>2</x:v>
      </x:c>
      <x:c r="D14" s="128"/>
      <x:c r="E14" s="128"/>
      <x:c r="F14" s="128"/>
      <x:c r="G14" s="128"/>
      <x:c r="H14" s="128"/>
      <x:c r="I14" s="129" t="str">
        <x:f>IF(COUNTA(E14:H14)=0,"",SUM(E14:H14))</x:f>
      </x:c>
      <x:c r="J14" s="130" t="str">
        <x:f>IF(I14="","",INDEX('评分规则'!$B$4:$B$44,MATCH(I14,'评分规则'!$A$4:$A$44,1)))</x:f>
      </x:c>
      <x:c r="K14" s="128"/>
      <x:c r="L14" s="128"/>
      <x:c r="M14" s="128"/>
      <x:c r="N14" s="129" t="str">
        <x:f>IF(COUNTA(K14:M14)=0,"",SUM(K14:M14))</x:f>
      </x:c>
      <x:c r="O14" s="130" t="str">
        <x:f>IF(N14="","",INDEX('评分规则'!$E$4:$E$44,MATCH(N14,'评分规则'!$D$4:$D$44,1)))</x:f>
      </x:c>
      <x:c r="P14" s="130" t="str">
        <x:f>IF(AND(J14="",O14=""),"",AVERAGE(J14,O14))</x:f>
      </x:c>
      <x:c r="Q14" s="130" t="str">
        <x:f>IF(P14="","",P14-'总览仪表盘'!$C$5)</x:f>
      </x:c>
      <x:c r="R14" s="19"/>
    </x:row>
    <x:row r="15">
      <x:c r="A15" s="126"/>
      <x:c r="B15" s="127"/>
      <x:c r="C15" s="128" t="n">
        <x:v>3</x:v>
      </x:c>
      <x:c r="D15" s="128"/>
      <x:c r="E15" s="128"/>
      <x:c r="F15" s="128"/>
      <x:c r="G15" s="128"/>
      <x:c r="H15" s="128"/>
      <x:c r="I15" s="129" t="str">
        <x:f>IF(COUNTA(E15:H15)=0,"",SUM(E15:H15))</x:f>
      </x:c>
      <x:c r="J15" s="130" t="str">
        <x:f>IF(I15="","",INDEX('评分规则'!$B$4:$B$44,MATCH(I15,'评分规则'!$A$4:$A$44,1)))</x:f>
      </x:c>
      <x:c r="K15" s="128"/>
      <x:c r="L15" s="128"/>
      <x:c r="M15" s="128"/>
      <x:c r="N15" s="129" t="str">
        <x:f>IF(COUNTA(K15:M15)=0,"",SUM(K15:M15))</x:f>
      </x:c>
      <x:c r="O15" s="130" t="str">
        <x:f>IF(N15="","",INDEX('评分规则'!$E$4:$E$44,MATCH(N15,'评分规则'!$D$4:$D$44,1)))</x:f>
      </x:c>
      <x:c r="P15" s="130" t="str">
        <x:f>IF(AND(J15="",O15=""),"",AVERAGE(J15,O15))</x:f>
      </x:c>
      <x:c r="Q15" s="130" t="str">
        <x:f>IF(P15="","",P15-'总览仪表盘'!$C$5)</x:f>
      </x:c>
      <x:c r="R15" s="19"/>
    </x:row>
    <x:row r="16">
      <x:c r="A16" s="126"/>
      <x:c r="B16" s="127"/>
      <x:c r="C16" s="128" t="n">
        <x:v>4</x:v>
      </x:c>
      <x:c r="D16" s="128"/>
      <x:c r="E16" s="128"/>
      <x:c r="F16" s="128"/>
      <x:c r="G16" s="128"/>
      <x:c r="H16" s="128"/>
      <x:c r="I16" s="129" t="str">
        <x:f>IF(COUNTA(E16:H16)=0,"",SUM(E16:H16))</x:f>
      </x:c>
      <x:c r="J16" s="130" t="str">
        <x:f>IF(I16="","",INDEX('评分规则'!$B$4:$B$44,MATCH(I16,'评分规则'!$A$4:$A$44,1)))</x:f>
      </x:c>
      <x:c r="K16" s="128"/>
      <x:c r="L16" s="128"/>
      <x:c r="M16" s="128"/>
      <x:c r="N16" s="129" t="str">
        <x:f>IF(COUNTA(K16:M16)=0,"",SUM(K16:M16))</x:f>
      </x:c>
      <x:c r="O16" s="130" t="str">
        <x:f>IF(N16="","",INDEX('评分规则'!$E$4:$E$44,MATCH(N16,'评分规则'!$D$4:$D$44,1)))</x:f>
      </x:c>
      <x:c r="P16" s="130" t="str">
        <x:f>IF(AND(J16="",O16=""),"",AVERAGE(J16,O16))</x:f>
      </x:c>
      <x:c r="Q16" s="130" t="str">
        <x:f>IF(P16="","",P16-'总览仪表盘'!$C$5)</x:f>
      </x:c>
      <x:c r="R16" s="19"/>
    </x:row>
    <x:row r="17">
      <x:c r="A17" s="126"/>
      <x:c r="B17" s="127"/>
      <x:c r="C17" s="128" t="n">
        <x:v>1</x:v>
      </x:c>
      <x:c r="D17" s="128"/>
      <x:c r="E17" s="128"/>
      <x:c r="F17" s="128"/>
      <x:c r="G17" s="128"/>
      <x:c r="H17" s="128"/>
      <x:c r="I17" s="129" t="str">
        <x:f>IF(COUNTA(E17:H17)=0,"",SUM(E17:H17))</x:f>
      </x:c>
      <x:c r="J17" s="130" t="str">
        <x:f>IF(I17="","",INDEX('评分规则'!$B$4:$B$44,MATCH(I17,'评分规则'!$A$4:$A$44,1)))</x:f>
      </x:c>
      <x:c r="K17" s="128"/>
      <x:c r="L17" s="128"/>
      <x:c r="M17" s="128"/>
      <x:c r="N17" s="129" t="str">
        <x:f>IF(COUNTA(K17:M17)=0,"",SUM(K17:M17))</x:f>
      </x:c>
      <x:c r="O17" s="130" t="str">
        <x:f>IF(N17="","",INDEX('评分规则'!$E$4:$E$44,MATCH(N17,'评分规则'!$D$4:$D$44,1)))</x:f>
      </x:c>
      <x:c r="P17" s="130" t="str">
        <x:f>IF(AND(J17="",O17=""),"",AVERAGE(J17,O17))</x:f>
      </x:c>
      <x:c r="Q17" s="130" t="str">
        <x:f>IF(P17="","",P17-'总览仪表盘'!$C$5)</x:f>
      </x:c>
      <x:c r="R17" s="19"/>
    </x:row>
    <x:row r="18">
      <x:c r="A18" s="126"/>
      <x:c r="B18" s="127"/>
      <x:c r="C18" s="128" t="n">
        <x:v>2</x:v>
      </x:c>
      <x:c r="D18" s="128"/>
      <x:c r="E18" s="128"/>
      <x:c r="F18" s="128"/>
      <x:c r="G18" s="128"/>
      <x:c r="H18" s="128"/>
      <x:c r="I18" s="129" t="str">
        <x:f>IF(COUNTA(E18:H18)=0,"",SUM(E18:H18))</x:f>
      </x:c>
      <x:c r="J18" s="130" t="str">
        <x:f>IF(I18="","",INDEX('评分规则'!$B$4:$B$44,MATCH(I18,'评分规则'!$A$4:$A$44,1)))</x:f>
      </x:c>
      <x:c r="K18" s="128"/>
      <x:c r="L18" s="128"/>
      <x:c r="M18" s="128"/>
      <x:c r="N18" s="129" t="str">
        <x:f>IF(COUNTA(K18:M18)=0,"",SUM(K18:M18))</x:f>
      </x:c>
      <x:c r="O18" s="130" t="str">
        <x:f>IF(N18="","",INDEX('评分规则'!$E$4:$E$44,MATCH(N18,'评分规则'!$D$4:$D$44,1)))</x:f>
      </x:c>
      <x:c r="P18" s="130" t="str">
        <x:f>IF(AND(J18="",O18=""),"",AVERAGE(J18,O18))</x:f>
      </x:c>
      <x:c r="Q18" s="130" t="str">
        <x:f>IF(P18="","",P18-'总览仪表盘'!$C$5)</x:f>
      </x:c>
      <x:c r="R18" s="19"/>
    </x:row>
    <x:row r="19">
      <x:c r="A19" s="126"/>
      <x:c r="B19" s="127"/>
      <x:c r="C19" s="128" t="n">
        <x:v>3</x:v>
      </x:c>
      <x:c r="D19" s="128"/>
      <x:c r="E19" s="128"/>
      <x:c r="F19" s="128"/>
      <x:c r="G19" s="128"/>
      <x:c r="H19" s="128"/>
      <x:c r="I19" s="129" t="str">
        <x:f>IF(COUNTA(E19:H19)=0,"",SUM(E19:H19))</x:f>
      </x:c>
      <x:c r="J19" s="130" t="str">
        <x:f>IF(I19="","",INDEX('评分规则'!$B$4:$B$44,MATCH(I19,'评分规则'!$A$4:$A$44,1)))</x:f>
      </x:c>
      <x:c r="K19" s="128"/>
      <x:c r="L19" s="128"/>
      <x:c r="M19" s="128"/>
      <x:c r="N19" s="129" t="str">
        <x:f>IF(COUNTA(K19:M19)=0,"",SUM(K19:M19))</x:f>
      </x:c>
      <x:c r="O19" s="130" t="str">
        <x:f>IF(N19="","",INDEX('评分规则'!$E$4:$E$44,MATCH(N19,'评分规则'!$D$4:$D$44,1)))</x:f>
      </x:c>
      <x:c r="P19" s="130" t="str">
        <x:f>IF(AND(J19="",O19=""),"",AVERAGE(J19,O19))</x:f>
      </x:c>
      <x:c r="Q19" s="130" t="str">
        <x:f>IF(P19="","",P19-'总览仪表盘'!$C$5)</x:f>
      </x:c>
      <x:c r="R19" s="19"/>
    </x:row>
    <x:row r="20">
      <x:c r="A20" s="126"/>
      <x:c r="B20" s="127"/>
      <x:c r="C20" s="128" t="n">
        <x:v>4</x:v>
      </x:c>
      <x:c r="D20" s="128"/>
      <x:c r="E20" s="128"/>
      <x:c r="F20" s="128"/>
      <x:c r="G20" s="128"/>
      <x:c r="H20" s="128"/>
      <x:c r="I20" s="129" t="str">
        <x:f>IF(COUNTA(E20:H20)=0,"",SUM(E20:H20))</x:f>
      </x:c>
      <x:c r="J20" s="130" t="str">
        <x:f>IF(I20="","",INDEX('评分规则'!$B$4:$B$44,MATCH(I20,'评分规则'!$A$4:$A$44,1)))</x:f>
      </x:c>
      <x:c r="K20" s="128"/>
      <x:c r="L20" s="128"/>
      <x:c r="M20" s="128"/>
      <x:c r="N20" s="129" t="str">
        <x:f>IF(COUNTA(K20:M20)=0,"",SUM(K20:M20))</x:f>
      </x:c>
      <x:c r="O20" s="130" t="str">
        <x:f>IF(N20="","",INDEX('评分规则'!$E$4:$E$44,MATCH(N20,'评分规则'!$D$4:$D$44,1)))</x:f>
      </x:c>
      <x:c r="P20" s="130" t="str">
        <x:f>IF(AND(J20="",O20=""),"",AVERAGE(J20,O20))</x:f>
      </x:c>
      <x:c r="Q20" s="130" t="str">
        <x:f>IF(P20="","",P20-'总览仪表盘'!$C$5)</x:f>
      </x:c>
      <x:c r="R20" s="19"/>
    </x:row>
    <x:row r="21">
      <x:c r="A21" s="126"/>
      <x:c r="B21" s="127"/>
      <x:c r="C21" s="128" t="n">
        <x:v>1</x:v>
      </x:c>
      <x:c r="D21" s="128"/>
      <x:c r="E21" s="128"/>
      <x:c r="F21" s="128"/>
      <x:c r="G21" s="128"/>
      <x:c r="H21" s="128"/>
      <x:c r="I21" s="129" t="str">
        <x:f>IF(COUNTA(E21:H21)=0,"",SUM(E21:H21))</x:f>
      </x:c>
      <x:c r="J21" s="130" t="str">
        <x:f>IF(I21="","",INDEX('评分规则'!$B$4:$B$44,MATCH(I21,'评分规则'!$A$4:$A$44,1)))</x:f>
      </x:c>
      <x:c r="K21" s="128"/>
      <x:c r="L21" s="128"/>
      <x:c r="M21" s="128"/>
      <x:c r="N21" s="129" t="str">
        <x:f>IF(COUNTA(K21:M21)=0,"",SUM(K21:M21))</x:f>
      </x:c>
      <x:c r="O21" s="130" t="str">
        <x:f>IF(N21="","",INDEX('评分规则'!$E$4:$E$44,MATCH(N21,'评分规则'!$D$4:$D$44,1)))</x:f>
      </x:c>
      <x:c r="P21" s="130" t="str">
        <x:f>IF(AND(J21="",O21=""),"",AVERAGE(J21,O21))</x:f>
      </x:c>
      <x:c r="Q21" s="130" t="str">
        <x:f>IF(P21="","",P21-'总览仪表盘'!$C$5)</x:f>
      </x:c>
      <x:c r="R21" s="19"/>
    </x:row>
    <x:row r="22">
      <x:c r="A22" s="126"/>
      <x:c r="B22" s="127"/>
      <x:c r="C22" s="128" t="n">
        <x:v>2</x:v>
      </x:c>
      <x:c r="D22" s="128"/>
      <x:c r="E22" s="128"/>
      <x:c r="F22" s="128"/>
      <x:c r="G22" s="128"/>
      <x:c r="H22" s="128"/>
      <x:c r="I22" s="129" t="str">
        <x:f>IF(COUNTA(E22:H22)=0,"",SUM(E22:H22))</x:f>
      </x:c>
      <x:c r="J22" s="130" t="str">
        <x:f>IF(I22="","",INDEX('评分规则'!$B$4:$B$44,MATCH(I22,'评分规则'!$A$4:$A$44,1)))</x:f>
      </x:c>
      <x:c r="K22" s="128"/>
      <x:c r="L22" s="128"/>
      <x:c r="M22" s="128"/>
      <x:c r="N22" s="129" t="str">
        <x:f>IF(COUNTA(K22:M22)=0,"",SUM(K22:M22))</x:f>
      </x:c>
      <x:c r="O22" s="130" t="str">
        <x:f>IF(N22="","",INDEX('评分规则'!$E$4:$E$44,MATCH(N22,'评分规则'!$D$4:$D$44,1)))</x:f>
      </x:c>
      <x:c r="P22" s="130" t="str">
        <x:f>IF(AND(J22="",O22=""),"",AVERAGE(J22,O22))</x:f>
      </x:c>
      <x:c r="Q22" s="130" t="str">
        <x:f>IF(P22="","",P22-'总览仪表盘'!$C$5)</x:f>
      </x:c>
      <x:c r="R22" s="19"/>
    </x:row>
    <x:row r="23">
      <x:c r="A23" s="126"/>
      <x:c r="B23" s="127"/>
      <x:c r="C23" s="128" t="n">
        <x:v>3</x:v>
      </x:c>
      <x:c r="D23" s="128"/>
      <x:c r="E23" s="128"/>
      <x:c r="F23" s="128"/>
      <x:c r="G23" s="128"/>
      <x:c r="H23" s="128"/>
      <x:c r="I23" s="129" t="str">
        <x:f>IF(COUNTA(E23:H23)=0,"",SUM(E23:H23))</x:f>
      </x:c>
      <x:c r="J23" s="130" t="str">
        <x:f>IF(I23="","",INDEX('评分规则'!$B$4:$B$44,MATCH(I23,'评分规则'!$A$4:$A$44,1)))</x:f>
      </x:c>
      <x:c r="K23" s="128"/>
      <x:c r="L23" s="128"/>
      <x:c r="M23" s="128"/>
      <x:c r="N23" s="129" t="str">
        <x:f>IF(COUNTA(K23:M23)=0,"",SUM(K23:M23))</x:f>
      </x:c>
      <x:c r="O23" s="130" t="str">
        <x:f>IF(N23="","",INDEX('评分规则'!$E$4:$E$44,MATCH(N23,'评分规则'!$D$4:$D$44,1)))</x:f>
      </x:c>
      <x:c r="P23" s="130" t="str">
        <x:f>IF(AND(J23="",O23=""),"",AVERAGE(J23,O23))</x:f>
      </x:c>
      <x:c r="Q23" s="130" t="str">
        <x:f>IF(P23="","",P23-'总览仪表盘'!$C$5)</x:f>
      </x:c>
      <x:c r="R23" s="19"/>
    </x:row>
    <x:row r="24">
      <x:c r="A24" s="126"/>
      <x:c r="B24" s="127"/>
      <x:c r="C24" s="128" t="n">
        <x:v>4</x:v>
      </x:c>
      <x:c r="D24" s="128"/>
      <x:c r="E24" s="128"/>
      <x:c r="F24" s="128"/>
      <x:c r="G24" s="128"/>
      <x:c r="H24" s="128"/>
      <x:c r="I24" s="129" t="str">
        <x:f>IF(COUNTA(E24:H24)=0,"",SUM(E24:H24))</x:f>
      </x:c>
      <x:c r="J24" s="130" t="str">
        <x:f>IF(I24="","",INDEX('评分规则'!$B$4:$B$44,MATCH(I24,'评分规则'!$A$4:$A$44,1)))</x:f>
      </x:c>
      <x:c r="K24" s="128"/>
      <x:c r="L24" s="128"/>
      <x:c r="M24" s="128"/>
      <x:c r="N24" s="129" t="str">
        <x:f>IF(COUNTA(K24:M24)=0,"",SUM(K24:M24))</x:f>
      </x:c>
      <x:c r="O24" s="130" t="str">
        <x:f>IF(N24="","",INDEX('评分规则'!$E$4:$E$44,MATCH(N24,'评分规则'!$D$4:$D$44,1)))</x:f>
      </x:c>
      <x:c r="P24" s="130" t="str">
        <x:f>IF(AND(J24="",O24=""),"",AVERAGE(J24,O24))</x:f>
      </x:c>
      <x:c r="Q24" s="130" t="str">
        <x:f>IF(P24="","",P24-'总览仪表盘'!$C$5)</x:f>
      </x:c>
      <x:c r="R24" s="19"/>
    </x:row>
    <x:row r="25">
      <x:c r="A25" s="126"/>
      <x:c r="B25" s="127"/>
      <x:c r="C25" s="128" t="n">
        <x:v>1</x:v>
      </x:c>
      <x:c r="D25" s="128"/>
      <x:c r="E25" s="128"/>
      <x:c r="F25" s="128"/>
      <x:c r="G25" s="128"/>
      <x:c r="H25" s="128"/>
      <x:c r="I25" s="129" t="str">
        <x:f>IF(COUNTA(E25:H25)=0,"",SUM(E25:H25))</x:f>
      </x:c>
      <x:c r="J25" s="130" t="str">
        <x:f>IF(I25="","",INDEX('评分规则'!$B$4:$B$44,MATCH(I25,'评分规则'!$A$4:$A$44,1)))</x:f>
      </x:c>
      <x:c r="K25" s="128"/>
      <x:c r="L25" s="128"/>
      <x:c r="M25" s="128"/>
      <x:c r="N25" s="129" t="str">
        <x:f>IF(COUNTA(K25:M25)=0,"",SUM(K25:M25))</x:f>
      </x:c>
      <x:c r="O25" s="130" t="str">
        <x:f>IF(N25="","",INDEX('评分规则'!$E$4:$E$44,MATCH(N25,'评分规则'!$D$4:$D$44,1)))</x:f>
      </x:c>
      <x:c r="P25" s="130" t="str">
        <x:f>IF(AND(J25="",O25=""),"",AVERAGE(J25,O25))</x:f>
      </x:c>
      <x:c r="Q25" s="130" t="str">
        <x:f>IF(P25="","",P25-'总览仪表盘'!$C$5)</x:f>
      </x:c>
      <x:c r="R25" s="19"/>
    </x:row>
    <x:row r="26">
      <x:c r="A26" s="126"/>
      <x:c r="B26" s="127"/>
      <x:c r="C26" s="128" t="n">
        <x:v>2</x:v>
      </x:c>
      <x:c r="D26" s="128"/>
      <x:c r="E26" s="128"/>
      <x:c r="F26" s="128"/>
      <x:c r="G26" s="128"/>
      <x:c r="H26" s="128"/>
      <x:c r="I26" s="129" t="str">
        <x:f>IF(COUNTA(E26:H26)=0,"",SUM(E26:H26))</x:f>
      </x:c>
      <x:c r="J26" s="130" t="str">
        <x:f>IF(I26="","",INDEX('评分规则'!$B$4:$B$44,MATCH(I26,'评分规则'!$A$4:$A$44,1)))</x:f>
      </x:c>
      <x:c r="K26" s="128"/>
      <x:c r="L26" s="128"/>
      <x:c r="M26" s="128"/>
      <x:c r="N26" s="129" t="str">
        <x:f>IF(COUNTA(K26:M26)=0,"",SUM(K26:M26))</x:f>
      </x:c>
      <x:c r="O26" s="130" t="str">
        <x:f>IF(N26="","",INDEX('评分规则'!$E$4:$E$44,MATCH(N26,'评分规则'!$D$4:$D$44,1)))</x:f>
      </x:c>
      <x:c r="P26" s="130" t="str">
        <x:f>IF(AND(J26="",O26=""),"",AVERAGE(J26,O26))</x:f>
      </x:c>
      <x:c r="Q26" s="130" t="str">
        <x:f>IF(P26="","",P26-'总览仪表盘'!$C$5)</x:f>
      </x:c>
      <x:c r="R26" s="19"/>
    </x:row>
    <x:row r="27">
      <x:c r="A27" s="126"/>
      <x:c r="B27" s="127"/>
      <x:c r="C27" s="128" t="n">
        <x:v>3</x:v>
      </x:c>
      <x:c r="D27" s="128"/>
      <x:c r="E27" s="128"/>
      <x:c r="F27" s="128"/>
      <x:c r="G27" s="128"/>
      <x:c r="H27" s="128"/>
      <x:c r="I27" s="129" t="str">
        <x:f>IF(COUNTA(E27:H27)=0,"",SUM(E27:H27))</x:f>
      </x:c>
      <x:c r="J27" s="130" t="str">
        <x:f>IF(I27="","",INDEX('评分规则'!$B$4:$B$44,MATCH(I27,'评分规则'!$A$4:$A$44,1)))</x:f>
      </x:c>
      <x:c r="K27" s="128"/>
      <x:c r="L27" s="128"/>
      <x:c r="M27" s="128"/>
      <x:c r="N27" s="129" t="str">
        <x:f>IF(COUNTA(K27:M27)=0,"",SUM(K27:M27))</x:f>
      </x:c>
      <x:c r="O27" s="130" t="str">
        <x:f>IF(N27="","",INDEX('评分规则'!$E$4:$E$44,MATCH(N27,'评分规则'!$D$4:$D$44,1)))</x:f>
      </x:c>
      <x:c r="P27" s="130" t="str">
        <x:f>IF(AND(J27="",O27=""),"",AVERAGE(J27,O27))</x:f>
      </x:c>
      <x:c r="Q27" s="130" t="str">
        <x:f>IF(P27="","",P27-'总览仪表盘'!$C$5)</x:f>
      </x:c>
      <x:c r="R27" s="19"/>
    </x:row>
    <x:row r="28">
      <x:c r="A28" s="126"/>
      <x:c r="B28" s="127"/>
      <x:c r="C28" s="128" t="n">
        <x:v>4</x:v>
      </x:c>
      <x:c r="D28" s="128"/>
      <x:c r="E28" s="128"/>
      <x:c r="F28" s="128"/>
      <x:c r="G28" s="128"/>
      <x:c r="H28" s="128"/>
      <x:c r="I28" s="129" t="str">
        <x:f>IF(COUNTA(E28:H28)=0,"",SUM(E28:H28))</x:f>
      </x:c>
      <x:c r="J28" s="130" t="str">
        <x:f>IF(I28="","",INDEX('评分规则'!$B$4:$B$44,MATCH(I28,'评分规则'!$A$4:$A$44,1)))</x:f>
      </x:c>
      <x:c r="K28" s="128"/>
      <x:c r="L28" s="128"/>
      <x:c r="M28" s="128"/>
      <x:c r="N28" s="129" t="str">
        <x:f>IF(COUNTA(K28:M28)=0,"",SUM(K28:M28))</x:f>
      </x:c>
      <x:c r="O28" s="130" t="str">
        <x:f>IF(N28="","",INDEX('评分规则'!$E$4:$E$44,MATCH(N28,'评分规则'!$D$4:$D$44,1)))</x:f>
      </x:c>
      <x:c r="P28" s="130" t="str">
        <x:f>IF(AND(J28="",O28=""),"",AVERAGE(J28,O28))</x:f>
      </x:c>
      <x:c r="Q28" s="130" t="str">
        <x:f>IF(P28="","",P28-'总览仪表盘'!$C$5)</x:f>
      </x:c>
      <x:c r="R28" s="19"/>
    </x:row>
    <x:row r="29">
      <x:c r="A29" s="126"/>
      <x:c r="B29" s="127"/>
      <x:c r="C29" s="128" t="n">
        <x:v>1</x:v>
      </x:c>
      <x:c r="D29" s="128"/>
      <x:c r="E29" s="128"/>
      <x:c r="F29" s="128"/>
      <x:c r="G29" s="128"/>
      <x:c r="H29" s="128"/>
      <x:c r="I29" s="129" t="str">
        <x:f>IF(COUNTA(E29:H29)=0,"",SUM(E29:H29))</x:f>
      </x:c>
      <x:c r="J29" s="130" t="str">
        <x:f>IF(I29="","",INDEX('评分规则'!$B$4:$B$44,MATCH(I29,'评分规则'!$A$4:$A$44,1)))</x:f>
      </x:c>
      <x:c r="K29" s="128"/>
      <x:c r="L29" s="128"/>
      <x:c r="M29" s="128"/>
      <x:c r="N29" s="129" t="str">
        <x:f>IF(COUNTA(K29:M29)=0,"",SUM(K29:M29))</x:f>
      </x:c>
      <x:c r="O29" s="130" t="str">
        <x:f>IF(N29="","",INDEX('评分规则'!$E$4:$E$44,MATCH(N29,'评分规则'!$D$4:$D$44,1)))</x:f>
      </x:c>
      <x:c r="P29" s="130" t="str">
        <x:f>IF(AND(J29="",O29=""),"",AVERAGE(J29,O29))</x:f>
      </x:c>
      <x:c r="Q29" s="130" t="str">
        <x:f>IF(P29="","",P29-'总览仪表盘'!$C$5)</x:f>
      </x:c>
      <x:c r="R29" s="19"/>
    </x:row>
    <x:row r="30">
      <x:c r="A30" s="126"/>
      <x:c r="B30" s="127"/>
      <x:c r="C30" s="128" t="n">
        <x:v>2</x:v>
      </x:c>
      <x:c r="D30" s="128"/>
      <x:c r="E30" s="128"/>
      <x:c r="F30" s="128"/>
      <x:c r="G30" s="128"/>
      <x:c r="H30" s="128"/>
      <x:c r="I30" s="129" t="str">
        <x:f>IF(COUNTA(E30:H30)=0,"",SUM(E30:H30))</x:f>
      </x:c>
      <x:c r="J30" s="130" t="str">
        <x:f>IF(I30="","",INDEX('评分规则'!$B$4:$B$44,MATCH(I30,'评分规则'!$A$4:$A$44,1)))</x:f>
      </x:c>
      <x:c r="K30" s="128"/>
      <x:c r="L30" s="128"/>
      <x:c r="M30" s="128"/>
      <x:c r="N30" s="129" t="str">
        <x:f>IF(COUNTA(K30:M30)=0,"",SUM(K30:M30))</x:f>
      </x:c>
      <x:c r="O30" s="130" t="str">
        <x:f>IF(N30="","",INDEX('评分规则'!$E$4:$E$44,MATCH(N30,'评分规则'!$D$4:$D$44,1)))</x:f>
      </x:c>
      <x:c r="P30" s="130" t="str">
        <x:f>IF(AND(J30="",O30=""),"",AVERAGE(J30,O30))</x:f>
      </x:c>
      <x:c r="Q30" s="130" t="str">
        <x:f>IF(P30="","",P30-'总览仪表盘'!$C$5)</x:f>
      </x:c>
      <x:c r="R30" s="19"/>
    </x:row>
    <x:row r="31">
      <x:c r="A31" s="126"/>
      <x:c r="B31" s="127"/>
      <x:c r="C31" s="128" t="n">
        <x:v>3</x:v>
      </x:c>
      <x:c r="D31" s="128"/>
      <x:c r="E31" s="128"/>
      <x:c r="F31" s="128"/>
      <x:c r="G31" s="128"/>
      <x:c r="H31" s="128"/>
      <x:c r="I31" s="129" t="str">
        <x:f>IF(COUNTA(E31:H31)=0,"",SUM(E31:H31))</x:f>
      </x:c>
      <x:c r="J31" s="130" t="str">
        <x:f>IF(I31="","",INDEX('评分规则'!$B$4:$B$44,MATCH(I31,'评分规则'!$A$4:$A$44,1)))</x:f>
      </x:c>
      <x:c r="K31" s="128"/>
      <x:c r="L31" s="128"/>
      <x:c r="M31" s="128"/>
      <x:c r="N31" s="129" t="str">
        <x:f>IF(COUNTA(K31:M31)=0,"",SUM(K31:M31))</x:f>
      </x:c>
      <x:c r="O31" s="130" t="str">
        <x:f>IF(N31="","",INDEX('评分规则'!$E$4:$E$44,MATCH(N31,'评分规则'!$D$4:$D$44,1)))</x:f>
      </x:c>
      <x:c r="P31" s="130" t="str">
        <x:f>IF(AND(J31="",O31=""),"",AVERAGE(J31,O31))</x:f>
      </x:c>
      <x:c r="Q31" s="130" t="str">
        <x:f>IF(P31="","",P31-'总览仪表盘'!$C$5)</x:f>
      </x:c>
      <x:c r="R31" s="19"/>
    </x:row>
    <x:row r="32">
      <x:c r="A32" s="126"/>
      <x:c r="B32" s="127"/>
      <x:c r="C32" s="128" t="n">
        <x:v>4</x:v>
      </x:c>
      <x:c r="D32" s="128"/>
      <x:c r="E32" s="128"/>
      <x:c r="F32" s="128"/>
      <x:c r="G32" s="128"/>
      <x:c r="H32" s="128"/>
      <x:c r="I32" s="129" t="str">
        <x:f>IF(COUNTA(E32:H32)=0,"",SUM(E32:H32))</x:f>
      </x:c>
      <x:c r="J32" s="130" t="str">
        <x:f>IF(I32="","",INDEX('评分规则'!$B$4:$B$44,MATCH(I32,'评分规则'!$A$4:$A$44,1)))</x:f>
      </x:c>
      <x:c r="K32" s="128"/>
      <x:c r="L32" s="128"/>
      <x:c r="M32" s="128"/>
      <x:c r="N32" s="129" t="str">
        <x:f>IF(COUNTA(K32:M32)=0,"",SUM(K32:M32))</x:f>
      </x:c>
      <x:c r="O32" s="130" t="str">
        <x:f>IF(N32="","",INDEX('评分规则'!$E$4:$E$44,MATCH(N32,'评分规则'!$D$4:$D$44,1)))</x:f>
      </x:c>
      <x:c r="P32" s="130" t="str">
        <x:f>IF(AND(J32="",O32=""),"",AVERAGE(J32,O32))</x:f>
      </x:c>
      <x:c r="Q32" s="130" t="str">
        <x:f>IF(P32="","",P32-'总览仪表盘'!$C$5)</x:f>
      </x:c>
      <x:c r="R32" s="19"/>
    </x:row>
    <x:row r="33">
      <x:c r="A33" s="126"/>
      <x:c r="B33" s="127"/>
      <x:c r="C33" s="128" t="n">
        <x:v>1</x:v>
      </x:c>
      <x:c r="D33" s="128"/>
      <x:c r="E33" s="128"/>
      <x:c r="F33" s="128"/>
      <x:c r="G33" s="128"/>
      <x:c r="H33" s="128"/>
      <x:c r="I33" s="129" t="str">
        <x:f>IF(COUNTA(E33:H33)=0,"",SUM(E33:H33))</x:f>
      </x:c>
      <x:c r="J33" s="130" t="str">
        <x:f>IF(I33="","",INDEX('评分规则'!$B$4:$B$44,MATCH(I33,'评分规则'!$A$4:$A$44,1)))</x:f>
      </x:c>
      <x:c r="K33" s="128"/>
      <x:c r="L33" s="128"/>
      <x:c r="M33" s="128"/>
      <x:c r="N33" s="129" t="str">
        <x:f>IF(COUNTA(K33:M33)=0,"",SUM(K33:M33))</x:f>
      </x:c>
      <x:c r="O33" s="130" t="str">
        <x:f>IF(N33="","",INDEX('评分规则'!$E$4:$E$44,MATCH(N33,'评分规则'!$D$4:$D$44,1)))</x:f>
      </x:c>
      <x:c r="P33" s="130" t="str">
        <x:f>IF(AND(J33="",O33=""),"",AVERAGE(J33,O33))</x:f>
      </x:c>
      <x:c r="Q33" s="130" t="str">
        <x:f>IF(P33="","",P33-'总览仪表盘'!$C$5)</x:f>
      </x:c>
      <x:c r="R33" s="19"/>
    </x:row>
    <x:row r="34">
      <x:c r="A34" s="126"/>
      <x:c r="B34" s="127"/>
      <x:c r="C34" s="128" t="n">
        <x:v>2</x:v>
      </x:c>
      <x:c r="D34" s="128"/>
      <x:c r="E34" s="128"/>
      <x:c r="F34" s="128"/>
      <x:c r="G34" s="128"/>
      <x:c r="H34" s="128"/>
      <x:c r="I34" s="129" t="str">
        <x:f>IF(COUNTA(E34:H34)=0,"",SUM(E34:H34))</x:f>
      </x:c>
      <x:c r="J34" s="130" t="str">
        <x:f>IF(I34="","",INDEX('评分规则'!$B$4:$B$44,MATCH(I34,'评分规则'!$A$4:$A$44,1)))</x:f>
      </x:c>
      <x:c r="K34" s="128"/>
      <x:c r="L34" s="128"/>
      <x:c r="M34" s="128"/>
      <x:c r="N34" s="129" t="str">
        <x:f>IF(COUNTA(K34:M34)=0,"",SUM(K34:M34))</x:f>
      </x:c>
      <x:c r="O34" s="130" t="str">
        <x:f>IF(N34="","",INDEX('评分规则'!$E$4:$E$44,MATCH(N34,'评分规则'!$D$4:$D$44,1)))</x:f>
      </x:c>
      <x:c r="P34" s="130" t="str">
        <x:f>IF(AND(J34="",O34=""),"",AVERAGE(J34,O34))</x:f>
      </x:c>
      <x:c r="Q34" s="130" t="str">
        <x:f>IF(P34="","",P34-'总览仪表盘'!$C$5)</x:f>
      </x:c>
      <x:c r="R34" s="19"/>
    </x:row>
    <x:row r="35">
      <x:c r="A35" s="126"/>
      <x:c r="B35" s="127"/>
      <x:c r="C35" s="128" t="n">
        <x:v>3</x:v>
      </x:c>
      <x:c r="D35" s="128"/>
      <x:c r="E35" s="128"/>
      <x:c r="F35" s="128"/>
      <x:c r="G35" s="128"/>
      <x:c r="H35" s="128"/>
      <x:c r="I35" s="129" t="str">
        <x:f>IF(COUNTA(E35:H35)=0,"",SUM(E35:H35))</x:f>
      </x:c>
      <x:c r="J35" s="130" t="str">
        <x:f>IF(I35="","",INDEX('评分规则'!$B$4:$B$44,MATCH(I35,'评分规则'!$A$4:$A$44,1)))</x:f>
      </x:c>
      <x:c r="K35" s="128"/>
      <x:c r="L35" s="128"/>
      <x:c r="M35" s="128"/>
      <x:c r="N35" s="129" t="str">
        <x:f>IF(COUNTA(K35:M35)=0,"",SUM(K35:M35))</x:f>
      </x:c>
      <x:c r="O35" s="130" t="str">
        <x:f>IF(N35="","",INDEX('评分规则'!$E$4:$E$44,MATCH(N35,'评分规则'!$D$4:$D$44,1)))</x:f>
      </x:c>
      <x:c r="P35" s="130" t="str">
        <x:f>IF(AND(J35="",O35=""),"",AVERAGE(J35,O35))</x:f>
      </x:c>
      <x:c r="Q35" s="130" t="str">
        <x:f>IF(P35="","",P35-'总览仪表盘'!$C$5)</x:f>
      </x:c>
      <x:c r="R35" s="19"/>
    </x:row>
    <x:row r="36">
      <x:c r="A36" s="126"/>
      <x:c r="B36" s="127"/>
      <x:c r="C36" s="128" t="n">
        <x:v>4</x:v>
      </x:c>
      <x:c r="D36" s="128"/>
      <x:c r="E36" s="128"/>
      <x:c r="F36" s="128"/>
      <x:c r="G36" s="128"/>
      <x:c r="H36" s="128"/>
      <x:c r="I36" s="129" t="str">
        <x:f>IF(COUNTA(E36:H36)=0,"",SUM(E36:H36))</x:f>
      </x:c>
      <x:c r="J36" s="130" t="str">
        <x:f>IF(I36="","",INDEX('评分规则'!$B$4:$B$44,MATCH(I36,'评分规则'!$A$4:$A$44,1)))</x:f>
      </x:c>
      <x:c r="K36" s="128"/>
      <x:c r="L36" s="128"/>
      <x:c r="M36" s="128"/>
      <x:c r="N36" s="129" t="str">
        <x:f>IF(COUNTA(K36:M36)=0,"",SUM(K36:M36))</x:f>
      </x:c>
      <x:c r="O36" s="130" t="str">
        <x:f>IF(N36="","",INDEX('评分规则'!$E$4:$E$44,MATCH(N36,'评分规则'!$D$4:$D$44,1)))</x:f>
      </x:c>
      <x:c r="P36" s="130" t="str">
        <x:f>IF(AND(J36="",O36=""),"",AVERAGE(J36,O36))</x:f>
      </x:c>
      <x:c r="Q36" s="130" t="str">
        <x:f>IF(P36="","",P36-'总览仪表盘'!$C$5)</x:f>
      </x:c>
      <x:c r="R36" s="19"/>
    </x:row>
    <x:row r="37">
      <x:c r="A37" s="126"/>
      <x:c r="B37" s="127"/>
      <x:c r="C37" s="128" t="n">
        <x:v>1</x:v>
      </x:c>
      <x:c r="D37" s="128"/>
      <x:c r="E37" s="128"/>
      <x:c r="F37" s="128"/>
      <x:c r="G37" s="128"/>
      <x:c r="H37" s="128"/>
      <x:c r="I37" s="129" t="str">
        <x:f>IF(COUNTA(E37:H37)=0,"",SUM(E37:H37))</x:f>
      </x:c>
      <x:c r="J37" s="130" t="str">
        <x:f>IF(I37="","",INDEX('评分规则'!$B$4:$B$44,MATCH(I37,'评分规则'!$A$4:$A$44,1)))</x:f>
      </x:c>
      <x:c r="K37" s="128"/>
      <x:c r="L37" s="128"/>
      <x:c r="M37" s="128"/>
      <x:c r="N37" s="129" t="str">
        <x:f>IF(COUNTA(K37:M37)=0,"",SUM(K37:M37))</x:f>
      </x:c>
      <x:c r="O37" s="130" t="str">
        <x:f>IF(N37="","",INDEX('评分规则'!$E$4:$E$44,MATCH(N37,'评分规则'!$D$4:$D$44,1)))</x:f>
      </x:c>
      <x:c r="P37" s="130" t="str">
        <x:f>IF(AND(J37="",O37=""),"",AVERAGE(J37,O37))</x:f>
      </x:c>
      <x:c r="Q37" s="130" t="str">
        <x:f>IF(P37="","",P37-'总览仪表盘'!$C$5)</x:f>
      </x:c>
      <x:c r="R37" s="19"/>
    </x:row>
    <x:row r="38">
      <x:c r="A38" s="126"/>
      <x:c r="B38" s="127"/>
      <x:c r="C38" s="128" t="n">
        <x:v>2</x:v>
      </x:c>
      <x:c r="D38" s="128"/>
      <x:c r="E38" s="128"/>
      <x:c r="F38" s="128"/>
      <x:c r="G38" s="128"/>
      <x:c r="H38" s="128"/>
      <x:c r="I38" s="129" t="str">
        <x:f>IF(COUNTA(E38:H38)=0,"",SUM(E38:H38))</x:f>
      </x:c>
      <x:c r="J38" s="130" t="str">
        <x:f>IF(I38="","",INDEX('评分规则'!$B$4:$B$44,MATCH(I38,'评分规则'!$A$4:$A$44,1)))</x:f>
      </x:c>
      <x:c r="K38" s="128"/>
      <x:c r="L38" s="128"/>
      <x:c r="M38" s="128"/>
      <x:c r="N38" s="129" t="str">
        <x:f>IF(COUNTA(K38:M38)=0,"",SUM(K38:M38))</x:f>
      </x:c>
      <x:c r="O38" s="130" t="str">
        <x:f>IF(N38="","",INDEX('评分规则'!$E$4:$E$44,MATCH(N38,'评分规则'!$D$4:$D$44,1)))</x:f>
      </x:c>
      <x:c r="P38" s="130" t="str">
        <x:f>IF(AND(J38="",O38=""),"",AVERAGE(J38,O38))</x:f>
      </x:c>
      <x:c r="Q38" s="130" t="str">
        <x:f>IF(P38="","",P38-'总览仪表盘'!$C$5)</x:f>
      </x:c>
      <x:c r="R38" s="19"/>
    </x:row>
    <x:row r="39">
      <x:c r="A39" s="126"/>
      <x:c r="B39" s="127"/>
      <x:c r="C39" s="128" t="n">
        <x:v>3</x:v>
      </x:c>
      <x:c r="D39" s="128"/>
      <x:c r="E39" s="128"/>
      <x:c r="F39" s="128"/>
      <x:c r="G39" s="128"/>
      <x:c r="H39" s="128"/>
      <x:c r="I39" s="129" t="str">
        <x:f>IF(COUNTA(E39:H39)=0,"",SUM(E39:H39))</x:f>
      </x:c>
      <x:c r="J39" s="130" t="str">
        <x:f>IF(I39="","",INDEX('评分规则'!$B$4:$B$44,MATCH(I39,'评分规则'!$A$4:$A$44,1)))</x:f>
      </x:c>
      <x:c r="K39" s="128"/>
      <x:c r="L39" s="128"/>
      <x:c r="M39" s="128"/>
      <x:c r="N39" s="129" t="str">
        <x:f>IF(COUNTA(K39:M39)=0,"",SUM(K39:M39))</x:f>
      </x:c>
      <x:c r="O39" s="130" t="str">
        <x:f>IF(N39="","",INDEX('评分规则'!$E$4:$E$44,MATCH(N39,'评分规则'!$D$4:$D$44,1)))</x:f>
      </x:c>
      <x:c r="P39" s="130" t="str">
        <x:f>IF(AND(J39="",O39=""),"",AVERAGE(J39,O39))</x:f>
      </x:c>
      <x:c r="Q39" s="130" t="str">
        <x:f>IF(P39="","",P39-'总览仪表盘'!$C$5)</x:f>
      </x:c>
      <x:c r="R39" s="19"/>
    </x:row>
    <x:row r="40">
      <x:c r="A40" s="126"/>
      <x:c r="B40" s="127"/>
      <x:c r="C40" s="128" t="n">
        <x:v>4</x:v>
      </x:c>
      <x:c r="D40" s="128"/>
      <x:c r="E40" s="128"/>
      <x:c r="F40" s="128"/>
      <x:c r="G40" s="128"/>
      <x:c r="H40" s="128"/>
      <x:c r="I40" s="129" t="str">
        <x:f>IF(COUNTA(E40:H40)=0,"",SUM(E40:H40))</x:f>
      </x:c>
      <x:c r="J40" s="130" t="str">
        <x:f>IF(I40="","",INDEX('评分规则'!$B$4:$B$44,MATCH(I40,'评分规则'!$A$4:$A$44,1)))</x:f>
      </x:c>
      <x:c r="K40" s="128"/>
      <x:c r="L40" s="128"/>
      <x:c r="M40" s="128"/>
      <x:c r="N40" s="129" t="str">
        <x:f>IF(COUNTA(K40:M40)=0,"",SUM(K40:M40))</x:f>
      </x:c>
      <x:c r="O40" s="130" t="str">
        <x:f>IF(N40="","",INDEX('评分规则'!$E$4:$E$44,MATCH(N40,'评分规则'!$D$4:$D$44,1)))</x:f>
      </x:c>
      <x:c r="P40" s="130" t="str">
        <x:f>IF(AND(J40="",O40=""),"",AVERAGE(J40,O40))</x:f>
      </x:c>
      <x:c r="Q40" s="130" t="str">
        <x:f>IF(P40="","",P40-'总览仪表盘'!$C$5)</x:f>
      </x:c>
      <x:c r="R40" s="19"/>
    </x:row>
    <x:row r="41">
      <x:c r="A41" s="126"/>
      <x:c r="B41" s="127"/>
      <x:c r="C41" s="128" t="n">
        <x:v>1</x:v>
      </x:c>
      <x:c r="D41" s="128"/>
      <x:c r="E41" s="128"/>
      <x:c r="F41" s="128"/>
      <x:c r="G41" s="128"/>
      <x:c r="H41" s="128"/>
      <x:c r="I41" s="129" t="str">
        <x:f>IF(COUNTA(E41:H41)=0,"",SUM(E41:H41))</x:f>
      </x:c>
      <x:c r="J41" s="130" t="str">
        <x:f>IF(I41="","",INDEX('评分规则'!$B$4:$B$44,MATCH(I41,'评分规则'!$A$4:$A$44,1)))</x:f>
      </x:c>
      <x:c r="K41" s="128"/>
      <x:c r="L41" s="128"/>
      <x:c r="M41" s="128"/>
      <x:c r="N41" s="129" t="str">
        <x:f>IF(COUNTA(K41:M41)=0,"",SUM(K41:M41))</x:f>
      </x:c>
      <x:c r="O41" s="130" t="str">
        <x:f>IF(N41="","",INDEX('评分规则'!$E$4:$E$44,MATCH(N41,'评分规则'!$D$4:$D$44,1)))</x:f>
      </x:c>
      <x:c r="P41" s="130" t="str">
        <x:f>IF(AND(J41="",O41=""),"",AVERAGE(J41,O41))</x:f>
      </x:c>
      <x:c r="Q41" s="130" t="str">
        <x:f>IF(P41="","",P41-'总览仪表盘'!$C$5)</x:f>
      </x:c>
      <x:c r="R41" s="19"/>
    </x:row>
    <x:row r="42">
      <x:c r="A42" s="126"/>
      <x:c r="B42" s="127"/>
      <x:c r="C42" s="128" t="n">
        <x:v>2</x:v>
      </x:c>
      <x:c r="D42" s="128"/>
      <x:c r="E42" s="128"/>
      <x:c r="F42" s="128"/>
      <x:c r="G42" s="128"/>
      <x:c r="H42" s="128"/>
      <x:c r="I42" s="129" t="str">
        <x:f>IF(COUNTA(E42:H42)=0,"",SUM(E42:H42))</x:f>
      </x:c>
      <x:c r="J42" s="130" t="str">
        <x:f>IF(I42="","",INDEX('评分规则'!$B$4:$B$44,MATCH(I42,'评分规则'!$A$4:$A$44,1)))</x:f>
      </x:c>
      <x:c r="K42" s="128"/>
      <x:c r="L42" s="128"/>
      <x:c r="M42" s="128"/>
      <x:c r="N42" s="129" t="str">
        <x:f>IF(COUNTA(K42:M42)=0,"",SUM(K42:M42))</x:f>
      </x:c>
      <x:c r="O42" s="130" t="str">
        <x:f>IF(N42="","",INDEX('评分规则'!$E$4:$E$44,MATCH(N42,'评分规则'!$D$4:$D$44,1)))</x:f>
      </x:c>
      <x:c r="P42" s="130" t="str">
        <x:f>IF(AND(J42="",O42=""),"",AVERAGE(J42,O42))</x:f>
      </x:c>
      <x:c r="Q42" s="130" t="str">
        <x:f>IF(P42="","",P42-'总览仪表盘'!$C$5)</x:f>
      </x:c>
      <x:c r="R42" s="19"/>
    </x:row>
    <x:row r="43">
      <x:c r="A43" s="126"/>
      <x:c r="B43" s="127"/>
      <x:c r="C43" s="128" t="n">
        <x:v>3</x:v>
      </x:c>
      <x:c r="D43" s="128"/>
      <x:c r="E43" s="128"/>
      <x:c r="F43" s="128"/>
      <x:c r="G43" s="128"/>
      <x:c r="H43" s="128"/>
      <x:c r="I43" s="129" t="str">
        <x:f>IF(COUNTA(E43:H43)=0,"",SUM(E43:H43))</x:f>
      </x:c>
      <x:c r="J43" s="130" t="str">
        <x:f>IF(I43="","",INDEX('评分规则'!$B$4:$B$44,MATCH(I43,'评分规则'!$A$4:$A$44,1)))</x:f>
      </x:c>
      <x:c r="K43" s="128"/>
      <x:c r="L43" s="128"/>
      <x:c r="M43" s="128"/>
      <x:c r="N43" s="129" t="str">
        <x:f>IF(COUNTA(K43:M43)=0,"",SUM(K43:M43))</x:f>
      </x:c>
      <x:c r="O43" s="130" t="str">
        <x:f>IF(N43="","",INDEX('评分规则'!$E$4:$E$44,MATCH(N43,'评分规则'!$D$4:$D$44,1)))</x:f>
      </x:c>
      <x:c r="P43" s="130" t="str">
        <x:f>IF(AND(J43="",O43=""),"",AVERAGE(J43,O43))</x:f>
      </x:c>
      <x:c r="Q43" s="130" t="str">
        <x:f>IF(P43="","",P43-'总览仪表盘'!$C$5)</x:f>
      </x:c>
      <x:c r="R43" s="19"/>
    </x:row>
    <x:row r="44">
      <x:c r="A44" s="126"/>
      <x:c r="B44" s="127"/>
      <x:c r="C44" s="128" t="n">
        <x:v>4</x:v>
      </x:c>
      <x:c r="D44" s="128"/>
      <x:c r="E44" s="128"/>
      <x:c r="F44" s="128"/>
      <x:c r="G44" s="128"/>
      <x:c r="H44" s="128"/>
      <x:c r="I44" s="129" t="str">
        <x:f>IF(COUNTA(E44:H44)=0,"",SUM(E44:H44))</x:f>
      </x:c>
      <x:c r="J44" s="130" t="str">
        <x:f>IF(I44="","",INDEX('评分规则'!$B$4:$B$44,MATCH(I44,'评分规则'!$A$4:$A$44,1)))</x:f>
      </x:c>
      <x:c r="K44" s="128"/>
      <x:c r="L44" s="128"/>
      <x:c r="M44" s="128"/>
      <x:c r="N44" s="129" t="str">
        <x:f>IF(COUNTA(K44:M44)=0,"",SUM(K44:M44))</x:f>
      </x:c>
      <x:c r="O44" s="130" t="str">
        <x:f>IF(N44="","",INDEX('评分规则'!$E$4:$E$44,MATCH(N44,'评分规则'!$D$4:$D$44,1)))</x:f>
      </x:c>
      <x:c r="P44" s="130" t="str">
        <x:f>IF(AND(J44="",O44=""),"",AVERAGE(J44,O44))</x:f>
      </x:c>
      <x:c r="Q44" s="130" t="str">
        <x:f>IF(P44="","",P44-'总览仪表盘'!$C$5)</x:f>
      </x:c>
      <x:c r="R44" s="19"/>
    </x:row>
    <x:row r="45">
      <x:c r="A45" s="126"/>
      <x:c r="B45" s="127"/>
      <x:c r="C45" s="128" t="n">
        <x:v>1</x:v>
      </x:c>
      <x:c r="D45" s="128"/>
      <x:c r="E45" s="128"/>
      <x:c r="F45" s="128"/>
      <x:c r="G45" s="128"/>
      <x:c r="H45" s="128"/>
      <x:c r="I45" s="129" t="str">
        <x:f>IF(COUNTA(E45:H45)=0,"",SUM(E45:H45))</x:f>
      </x:c>
      <x:c r="J45" s="130" t="str">
        <x:f>IF(I45="","",INDEX('评分规则'!$B$4:$B$44,MATCH(I45,'评分规则'!$A$4:$A$44,1)))</x:f>
      </x:c>
      <x:c r="K45" s="128"/>
      <x:c r="L45" s="128"/>
      <x:c r="M45" s="128"/>
      <x:c r="N45" s="129" t="str">
        <x:f>IF(COUNTA(K45:M45)=0,"",SUM(K45:M45))</x:f>
      </x:c>
      <x:c r="O45" s="130" t="str">
        <x:f>IF(N45="","",INDEX('评分规则'!$E$4:$E$44,MATCH(N45,'评分规则'!$D$4:$D$44,1)))</x:f>
      </x:c>
      <x:c r="P45" s="130" t="str">
        <x:f>IF(AND(J45="",O45=""),"",AVERAGE(J45,O45))</x:f>
      </x:c>
      <x:c r="Q45" s="130" t="str">
        <x:f>IF(P45="","",P45-'总览仪表盘'!$C$5)</x:f>
      </x:c>
      <x:c r="R45" s="19"/>
    </x:row>
    <x:row r="46">
      <x:c r="A46" s="126"/>
      <x:c r="B46" s="127"/>
      <x:c r="C46" s="128" t="n">
        <x:v>2</x:v>
      </x:c>
      <x:c r="D46" s="128"/>
      <x:c r="E46" s="128"/>
      <x:c r="F46" s="128"/>
      <x:c r="G46" s="128"/>
      <x:c r="H46" s="128"/>
      <x:c r="I46" s="129" t="str">
        <x:f>IF(COUNTA(E46:H46)=0,"",SUM(E46:H46))</x:f>
      </x:c>
      <x:c r="J46" s="130" t="str">
        <x:f>IF(I46="","",INDEX('评分规则'!$B$4:$B$44,MATCH(I46,'评分规则'!$A$4:$A$44,1)))</x:f>
      </x:c>
      <x:c r="K46" s="128"/>
      <x:c r="L46" s="128"/>
      <x:c r="M46" s="128"/>
      <x:c r="N46" s="129" t="str">
        <x:f>IF(COUNTA(K46:M46)=0,"",SUM(K46:M46))</x:f>
      </x:c>
      <x:c r="O46" s="130" t="str">
        <x:f>IF(N46="","",INDEX('评分规则'!$E$4:$E$44,MATCH(N46,'评分规则'!$D$4:$D$44,1)))</x:f>
      </x:c>
      <x:c r="P46" s="130" t="str">
        <x:f>IF(AND(J46="",O46=""),"",AVERAGE(J46,O46))</x:f>
      </x:c>
      <x:c r="Q46" s="130" t="str">
        <x:f>IF(P46="","",P46-'总览仪表盘'!$C$5)</x:f>
      </x:c>
      <x:c r="R46" s="19"/>
    </x:row>
    <x:row r="47">
      <x:c r="A47" s="126"/>
      <x:c r="B47" s="127"/>
      <x:c r="C47" s="128" t="n">
        <x:v>3</x:v>
      </x:c>
      <x:c r="D47" s="128"/>
      <x:c r="E47" s="128"/>
      <x:c r="F47" s="128"/>
      <x:c r="G47" s="128"/>
      <x:c r="H47" s="128"/>
      <x:c r="I47" s="129" t="str">
        <x:f>IF(COUNTA(E47:H47)=0,"",SUM(E47:H47))</x:f>
      </x:c>
      <x:c r="J47" s="130" t="str">
        <x:f>IF(I47="","",INDEX('评分规则'!$B$4:$B$44,MATCH(I47,'评分规则'!$A$4:$A$44,1)))</x:f>
      </x:c>
      <x:c r="K47" s="128"/>
      <x:c r="L47" s="128"/>
      <x:c r="M47" s="128"/>
      <x:c r="N47" s="129" t="str">
        <x:f>IF(COUNTA(K47:M47)=0,"",SUM(K47:M47))</x:f>
      </x:c>
      <x:c r="O47" s="130" t="str">
        <x:f>IF(N47="","",INDEX('评分规则'!$E$4:$E$44,MATCH(N47,'评分规则'!$D$4:$D$44,1)))</x:f>
      </x:c>
      <x:c r="P47" s="130" t="str">
        <x:f>IF(AND(J47="",O47=""),"",AVERAGE(J47,O47))</x:f>
      </x:c>
      <x:c r="Q47" s="130" t="str">
        <x:f>IF(P47="","",P47-'总览仪表盘'!$C$5)</x:f>
      </x:c>
      <x:c r="R47" s="19"/>
    </x:row>
    <x:row r="48">
      <x:c r="A48" s="126"/>
      <x:c r="B48" s="127"/>
      <x:c r="C48" s="128" t="n">
        <x:v>4</x:v>
      </x:c>
      <x:c r="D48" s="128"/>
      <x:c r="E48" s="128"/>
      <x:c r="F48" s="128"/>
      <x:c r="G48" s="128"/>
      <x:c r="H48" s="128"/>
      <x:c r="I48" s="129" t="str">
        <x:f>IF(COUNTA(E48:H48)=0,"",SUM(E48:H48))</x:f>
      </x:c>
      <x:c r="J48" s="130" t="str">
        <x:f>IF(I48="","",INDEX('评分规则'!$B$4:$B$44,MATCH(I48,'评分规则'!$A$4:$A$44,1)))</x:f>
      </x:c>
      <x:c r="K48" s="128"/>
      <x:c r="L48" s="128"/>
      <x:c r="M48" s="128"/>
      <x:c r="N48" s="129" t="str">
        <x:f>IF(COUNTA(K48:M48)=0,"",SUM(K48:M48))</x:f>
      </x:c>
      <x:c r="O48" s="130" t="str">
        <x:f>IF(N48="","",INDEX('评分规则'!$E$4:$E$44,MATCH(N48,'评分规则'!$D$4:$D$44,1)))</x:f>
      </x:c>
      <x:c r="P48" s="130" t="str">
        <x:f>IF(AND(J48="",O48=""),"",AVERAGE(J48,O48))</x:f>
      </x:c>
      <x:c r="Q48" s="130" t="str">
        <x:f>IF(P48="","",P48-'总览仪表盘'!$C$5)</x:f>
      </x:c>
      <x:c r="R48" s="19"/>
    </x:row>
    <x:row r="49">
      <x:c r="A49" s="126"/>
      <x:c r="B49" s="127"/>
      <x:c r="C49" s="128" t="n">
        <x:v>1</x:v>
      </x:c>
      <x:c r="D49" s="128"/>
      <x:c r="E49" s="128"/>
      <x:c r="F49" s="128"/>
      <x:c r="G49" s="128"/>
      <x:c r="H49" s="128"/>
      <x:c r="I49" s="129" t="str">
        <x:f>IF(COUNTA(E49:H49)=0,"",SUM(E49:H49))</x:f>
      </x:c>
      <x:c r="J49" s="130" t="str">
        <x:f>IF(I49="","",INDEX('评分规则'!$B$4:$B$44,MATCH(I49,'评分规则'!$A$4:$A$44,1)))</x:f>
      </x:c>
      <x:c r="K49" s="128"/>
      <x:c r="L49" s="128"/>
      <x:c r="M49" s="128"/>
      <x:c r="N49" s="129" t="str">
        <x:f>IF(COUNTA(K49:M49)=0,"",SUM(K49:M49))</x:f>
      </x:c>
      <x:c r="O49" s="130" t="str">
        <x:f>IF(N49="","",INDEX('评分规则'!$E$4:$E$44,MATCH(N49,'评分规则'!$D$4:$D$44,1)))</x:f>
      </x:c>
      <x:c r="P49" s="130" t="str">
        <x:f>IF(AND(J49="",O49=""),"",AVERAGE(J49,O49))</x:f>
      </x:c>
      <x:c r="Q49" s="130" t="str">
        <x:f>IF(P49="","",P49-'总览仪表盘'!$C$5)</x:f>
      </x:c>
      <x:c r="R49" s="19"/>
    </x:row>
    <x:row r="50">
      <x:c r="A50" s="126"/>
      <x:c r="B50" s="127"/>
      <x:c r="C50" s="128" t="n">
        <x:v>2</x:v>
      </x:c>
      <x:c r="D50" s="128"/>
      <x:c r="E50" s="128"/>
      <x:c r="F50" s="128"/>
      <x:c r="G50" s="128"/>
      <x:c r="H50" s="128"/>
      <x:c r="I50" s="129" t="str">
        <x:f>IF(COUNTA(E50:H50)=0,"",SUM(E50:H50))</x:f>
      </x:c>
      <x:c r="J50" s="130" t="str">
        <x:f>IF(I50="","",INDEX('评分规则'!$B$4:$B$44,MATCH(I50,'评分规则'!$A$4:$A$44,1)))</x:f>
      </x:c>
      <x:c r="K50" s="128"/>
      <x:c r="L50" s="128"/>
      <x:c r="M50" s="128"/>
      <x:c r="N50" s="129" t="str">
        <x:f>IF(COUNTA(K50:M50)=0,"",SUM(K50:M50))</x:f>
      </x:c>
      <x:c r="O50" s="130" t="str">
        <x:f>IF(N50="","",INDEX('评分规则'!$E$4:$E$44,MATCH(N50,'评分规则'!$D$4:$D$44,1)))</x:f>
      </x:c>
      <x:c r="P50" s="130" t="str">
        <x:f>IF(AND(J50="",O50=""),"",AVERAGE(J50,O50))</x:f>
      </x:c>
      <x:c r="Q50" s="130" t="str">
        <x:f>IF(P50="","",P50-'总览仪表盘'!$C$5)</x:f>
      </x:c>
      <x:c r="R50" s="19"/>
    </x:row>
    <x:row r="51">
      <x:c r="A51" s="126"/>
      <x:c r="B51" s="127"/>
      <x:c r="C51" s="128" t="n">
        <x:v>3</x:v>
      </x:c>
      <x:c r="D51" s="128"/>
      <x:c r="E51" s="128"/>
      <x:c r="F51" s="128"/>
      <x:c r="G51" s="128"/>
      <x:c r="H51" s="128"/>
      <x:c r="I51" s="129" t="str">
        <x:f>IF(COUNTA(E51:H51)=0,"",SUM(E51:H51))</x:f>
      </x:c>
      <x:c r="J51" s="130" t="str">
        <x:f>IF(I51="","",INDEX('评分规则'!$B$4:$B$44,MATCH(I51,'评分规则'!$A$4:$A$44,1)))</x:f>
      </x:c>
      <x:c r="K51" s="128"/>
      <x:c r="L51" s="128"/>
      <x:c r="M51" s="128"/>
      <x:c r="N51" s="129" t="str">
        <x:f>IF(COUNTA(K51:M51)=0,"",SUM(K51:M51))</x:f>
      </x:c>
      <x:c r="O51" s="130" t="str">
        <x:f>IF(N51="","",INDEX('评分规则'!$E$4:$E$44,MATCH(N51,'评分规则'!$D$4:$D$44,1)))</x:f>
      </x:c>
      <x:c r="P51" s="130" t="str">
        <x:f>IF(AND(J51="",O51=""),"",AVERAGE(J51,O51))</x:f>
      </x:c>
      <x:c r="Q51" s="130" t="str">
        <x:f>IF(P51="","",P51-'总览仪表盘'!$C$5)</x:f>
      </x:c>
      <x:c r="R51" s="19"/>
    </x:row>
    <x:row r="52">
      <x:c r="A52" s="126"/>
      <x:c r="B52" s="127"/>
      <x:c r="C52" s="128" t="n">
        <x:v>4</x:v>
      </x:c>
      <x:c r="D52" s="128"/>
      <x:c r="E52" s="128"/>
      <x:c r="F52" s="128"/>
      <x:c r="G52" s="128"/>
      <x:c r="H52" s="128"/>
      <x:c r="I52" s="129" t="str">
        <x:f>IF(COUNTA(E52:H52)=0,"",SUM(E52:H52))</x:f>
      </x:c>
      <x:c r="J52" s="130" t="str">
        <x:f>IF(I52="","",INDEX('评分规则'!$B$4:$B$44,MATCH(I52,'评分规则'!$A$4:$A$44,1)))</x:f>
      </x:c>
      <x:c r="K52" s="128"/>
      <x:c r="L52" s="128"/>
      <x:c r="M52" s="128"/>
      <x:c r="N52" s="129" t="str">
        <x:f>IF(COUNTA(K52:M52)=0,"",SUM(K52:M52))</x:f>
      </x:c>
      <x:c r="O52" s="130" t="str">
        <x:f>IF(N52="","",INDEX('评分规则'!$E$4:$E$44,MATCH(N52,'评分规则'!$D$4:$D$44,1)))</x:f>
      </x:c>
      <x:c r="P52" s="130" t="str">
        <x:f>IF(AND(J52="",O52=""),"",AVERAGE(J52,O52))</x:f>
      </x:c>
      <x:c r="Q52" s="130" t="str">
        <x:f>IF(P52="","",P52-'总览仪表盘'!$C$5)</x:f>
      </x:c>
      <x:c r="R52" s="19"/>
    </x:row>
    <x:row r="53">
      <x:c r="A53" s="126"/>
      <x:c r="B53" s="127"/>
      <x:c r="C53" s="128" t="n">
        <x:v>1</x:v>
      </x:c>
      <x:c r="D53" s="128"/>
      <x:c r="E53" s="128"/>
      <x:c r="F53" s="128"/>
      <x:c r="G53" s="128"/>
      <x:c r="H53" s="128"/>
      <x:c r="I53" s="129" t="str">
        <x:f>IF(COUNTA(E53:H53)=0,"",SUM(E53:H53))</x:f>
      </x:c>
      <x:c r="J53" s="130" t="str">
        <x:f>IF(I53="","",INDEX('评分规则'!$B$4:$B$44,MATCH(I53,'评分规则'!$A$4:$A$44,1)))</x:f>
      </x:c>
      <x:c r="K53" s="128"/>
      <x:c r="L53" s="128"/>
      <x:c r="M53" s="128"/>
      <x:c r="N53" s="129" t="str">
        <x:f>IF(COUNTA(K53:M53)=0,"",SUM(K53:M53))</x:f>
      </x:c>
      <x:c r="O53" s="130" t="str">
        <x:f>IF(N53="","",INDEX('评分规则'!$E$4:$E$44,MATCH(N53,'评分规则'!$D$4:$D$44,1)))</x:f>
      </x:c>
      <x:c r="P53" s="130" t="str">
        <x:f>IF(AND(J53="",O53=""),"",AVERAGE(J53,O53))</x:f>
      </x:c>
      <x:c r="Q53" s="130" t="str">
        <x:f>IF(P53="","",P53-'总览仪表盘'!$C$5)</x:f>
      </x:c>
      <x:c r="R53" s="19"/>
    </x:row>
    <x:row r="54">
      <x:c r="A54" s="126"/>
      <x:c r="B54" s="127"/>
      <x:c r="C54" s="128" t="n">
        <x:v>2</x:v>
      </x:c>
      <x:c r="D54" s="128"/>
      <x:c r="E54" s="128"/>
      <x:c r="F54" s="128"/>
      <x:c r="G54" s="128"/>
      <x:c r="H54" s="128"/>
      <x:c r="I54" s="129" t="str">
        <x:f>IF(COUNTA(E54:H54)=0,"",SUM(E54:H54))</x:f>
      </x:c>
      <x:c r="J54" s="130" t="str">
        <x:f>IF(I54="","",INDEX('评分规则'!$B$4:$B$44,MATCH(I54,'评分规则'!$A$4:$A$44,1)))</x:f>
      </x:c>
      <x:c r="K54" s="128"/>
      <x:c r="L54" s="128"/>
      <x:c r="M54" s="128"/>
      <x:c r="N54" s="129" t="str">
        <x:f>IF(COUNTA(K54:M54)=0,"",SUM(K54:M54))</x:f>
      </x:c>
      <x:c r="O54" s="130" t="str">
        <x:f>IF(N54="","",INDEX('评分规则'!$E$4:$E$44,MATCH(N54,'评分规则'!$D$4:$D$44,1)))</x:f>
      </x:c>
      <x:c r="P54" s="130" t="str">
        <x:f>IF(AND(J54="",O54=""),"",AVERAGE(J54,O54))</x:f>
      </x:c>
      <x:c r="Q54" s="130" t="str">
        <x:f>IF(P54="","",P54-'总览仪表盘'!$C$5)</x:f>
      </x:c>
      <x:c r="R54" s="19"/>
    </x:row>
    <x:row r="55">
      <x:c r="A55" s="126"/>
      <x:c r="B55" s="127"/>
      <x:c r="C55" s="128" t="n">
        <x:v>3</x:v>
      </x:c>
      <x:c r="D55" s="128"/>
      <x:c r="E55" s="128"/>
      <x:c r="F55" s="128"/>
      <x:c r="G55" s="128"/>
      <x:c r="H55" s="128"/>
      <x:c r="I55" s="129" t="str">
        <x:f>IF(COUNTA(E55:H55)=0,"",SUM(E55:H55))</x:f>
      </x:c>
      <x:c r="J55" s="130" t="str">
        <x:f>IF(I55="","",INDEX('评分规则'!$B$4:$B$44,MATCH(I55,'评分规则'!$A$4:$A$44,1)))</x:f>
      </x:c>
      <x:c r="K55" s="128"/>
      <x:c r="L55" s="128"/>
      <x:c r="M55" s="128"/>
      <x:c r="N55" s="129" t="str">
        <x:f>IF(COUNTA(K55:M55)=0,"",SUM(K55:M55))</x:f>
      </x:c>
      <x:c r="O55" s="130" t="str">
        <x:f>IF(N55="","",INDEX('评分规则'!$E$4:$E$44,MATCH(N55,'评分规则'!$D$4:$D$44,1)))</x:f>
      </x:c>
      <x:c r="P55" s="130" t="str">
        <x:f>IF(AND(J55="",O55=""),"",AVERAGE(J55,O55))</x:f>
      </x:c>
      <x:c r="Q55" s="130" t="str">
        <x:f>IF(P55="","",P55-'总览仪表盘'!$C$5)</x:f>
      </x:c>
      <x:c r="R55" s="19"/>
    </x:row>
    <x:row r="56">
      <x:c r="A56" s="126"/>
      <x:c r="B56" s="127"/>
      <x:c r="C56" s="128" t="n">
        <x:v>4</x:v>
      </x:c>
      <x:c r="D56" s="128"/>
      <x:c r="E56" s="128"/>
      <x:c r="F56" s="128"/>
      <x:c r="G56" s="128"/>
      <x:c r="H56" s="128"/>
      <x:c r="I56" s="129" t="str">
        <x:f>IF(COUNTA(E56:H56)=0,"",SUM(E56:H56))</x:f>
      </x:c>
      <x:c r="J56" s="130" t="str">
        <x:f>IF(I56="","",INDEX('评分规则'!$B$4:$B$44,MATCH(I56,'评分规则'!$A$4:$A$44,1)))</x:f>
      </x:c>
      <x:c r="K56" s="128"/>
      <x:c r="L56" s="128"/>
      <x:c r="M56" s="128"/>
      <x:c r="N56" s="129" t="str">
        <x:f>IF(COUNTA(K56:M56)=0,"",SUM(K56:M56))</x:f>
      </x:c>
      <x:c r="O56" s="130" t="str">
        <x:f>IF(N56="","",INDEX('评分规则'!$E$4:$E$44,MATCH(N56,'评分规则'!$D$4:$D$44,1)))</x:f>
      </x:c>
      <x:c r="P56" s="130" t="str">
        <x:f>IF(AND(J56="",O56=""),"",AVERAGE(J56,O56))</x:f>
      </x:c>
      <x:c r="Q56" s="130" t="str">
        <x:f>IF(P56="","",P56-'总览仪表盘'!$C$5)</x:f>
      </x:c>
      <x:c r="R56" s="19"/>
    </x:row>
    <x:row r="57">
      <x:c r="A57" s="126"/>
      <x:c r="B57" s="127"/>
      <x:c r="C57" s="128" t="n">
        <x:v>1</x:v>
      </x:c>
      <x:c r="D57" s="128"/>
      <x:c r="E57" s="128"/>
      <x:c r="F57" s="128"/>
      <x:c r="G57" s="128"/>
      <x:c r="H57" s="128"/>
      <x:c r="I57" s="129" t="str">
        <x:f>IF(COUNTA(E57:H57)=0,"",SUM(E57:H57))</x:f>
      </x:c>
      <x:c r="J57" s="130" t="str">
        <x:f>IF(I57="","",INDEX('评分规则'!$B$4:$B$44,MATCH(I57,'评分规则'!$A$4:$A$44,1)))</x:f>
      </x:c>
      <x:c r="K57" s="128"/>
      <x:c r="L57" s="128"/>
      <x:c r="M57" s="128"/>
      <x:c r="N57" s="129" t="str">
        <x:f>IF(COUNTA(K57:M57)=0,"",SUM(K57:M57))</x:f>
      </x:c>
      <x:c r="O57" s="130" t="str">
        <x:f>IF(N57="","",INDEX('评分规则'!$E$4:$E$44,MATCH(N57,'评分规则'!$D$4:$D$44,1)))</x:f>
      </x:c>
      <x:c r="P57" s="130" t="str">
        <x:f>IF(AND(J57="",O57=""),"",AVERAGE(J57,O57))</x:f>
      </x:c>
      <x:c r="Q57" s="130" t="str">
        <x:f>IF(P57="","",P57-'总览仪表盘'!$C$5)</x:f>
      </x:c>
      <x:c r="R57" s="19"/>
    </x:row>
    <x:row r="58">
      <x:c r="A58" s="126"/>
      <x:c r="B58" s="127"/>
      <x:c r="C58" s="128" t="n">
        <x:v>2</x:v>
      </x:c>
      <x:c r="D58" s="128"/>
      <x:c r="E58" s="128"/>
      <x:c r="F58" s="128"/>
      <x:c r="G58" s="128"/>
      <x:c r="H58" s="128"/>
      <x:c r="I58" s="129" t="str">
        <x:f>IF(COUNTA(E58:H58)=0,"",SUM(E58:H58))</x:f>
      </x:c>
      <x:c r="J58" s="130" t="str">
        <x:f>IF(I58="","",INDEX('评分规则'!$B$4:$B$44,MATCH(I58,'评分规则'!$A$4:$A$44,1)))</x:f>
      </x:c>
      <x:c r="K58" s="128"/>
      <x:c r="L58" s="128"/>
      <x:c r="M58" s="128"/>
      <x:c r="N58" s="129" t="str">
        <x:f>IF(COUNTA(K58:M58)=0,"",SUM(K58:M58))</x:f>
      </x:c>
      <x:c r="O58" s="130" t="str">
        <x:f>IF(N58="","",INDEX('评分规则'!$E$4:$E$44,MATCH(N58,'评分规则'!$D$4:$D$44,1)))</x:f>
      </x:c>
      <x:c r="P58" s="130" t="str">
        <x:f>IF(AND(J58="",O58=""),"",AVERAGE(J58,O58))</x:f>
      </x:c>
      <x:c r="Q58" s="130" t="str">
        <x:f>IF(P58="","",P58-'总览仪表盘'!$C$5)</x:f>
      </x:c>
      <x:c r="R58" s="19"/>
    </x:row>
    <x:row r="59">
      <x:c r="A59" s="126"/>
      <x:c r="B59" s="127"/>
      <x:c r="C59" s="128" t="n">
        <x:v>3</x:v>
      </x:c>
      <x:c r="D59" s="128"/>
      <x:c r="E59" s="128"/>
      <x:c r="F59" s="128"/>
      <x:c r="G59" s="128"/>
      <x:c r="H59" s="128"/>
      <x:c r="I59" s="129" t="str">
        <x:f>IF(COUNTA(E59:H59)=0,"",SUM(E59:H59))</x:f>
      </x:c>
      <x:c r="J59" s="130" t="str">
        <x:f>IF(I59="","",INDEX('评分规则'!$B$4:$B$44,MATCH(I59,'评分规则'!$A$4:$A$44,1)))</x:f>
      </x:c>
      <x:c r="K59" s="128"/>
      <x:c r="L59" s="128"/>
      <x:c r="M59" s="128"/>
      <x:c r="N59" s="129" t="str">
        <x:f>IF(COUNTA(K59:M59)=0,"",SUM(K59:M59))</x:f>
      </x:c>
      <x:c r="O59" s="130" t="str">
        <x:f>IF(N59="","",INDEX('评分规则'!$E$4:$E$44,MATCH(N59,'评分规则'!$D$4:$D$44,1)))</x:f>
      </x:c>
      <x:c r="P59" s="130" t="str">
        <x:f>IF(AND(J59="",O59=""),"",AVERAGE(J59,O59))</x:f>
      </x:c>
      <x:c r="Q59" s="130" t="str">
        <x:f>IF(P59="","",P59-'总览仪表盘'!$C$5)</x:f>
      </x:c>
      <x:c r="R59" s="19"/>
    </x:row>
    <x:row r="60">
      <x:c r="A60" s="126"/>
      <x:c r="B60" s="127"/>
      <x:c r="C60" s="128" t="n">
        <x:v>4</x:v>
      </x:c>
      <x:c r="D60" s="128"/>
      <x:c r="E60" s="128"/>
      <x:c r="F60" s="128"/>
      <x:c r="G60" s="128"/>
      <x:c r="H60" s="128"/>
      <x:c r="I60" s="129" t="str">
        <x:f>IF(COUNTA(E60:H60)=0,"",SUM(E60:H60))</x:f>
      </x:c>
      <x:c r="J60" s="130" t="str">
        <x:f>IF(I60="","",INDEX('评分规则'!$B$4:$B$44,MATCH(I60,'评分规则'!$A$4:$A$44,1)))</x:f>
      </x:c>
      <x:c r="K60" s="128"/>
      <x:c r="L60" s="128"/>
      <x:c r="M60" s="128"/>
      <x:c r="N60" s="129" t="str">
        <x:f>IF(COUNTA(K60:M60)=0,"",SUM(K60:M60))</x:f>
      </x:c>
      <x:c r="O60" s="130" t="str">
        <x:f>IF(N60="","",INDEX('评分规则'!$E$4:$E$44,MATCH(N60,'评分规则'!$D$4:$D$44,1)))</x:f>
      </x:c>
      <x:c r="P60" s="130" t="str">
        <x:f>IF(AND(J60="",O60=""),"",AVERAGE(J60,O60))</x:f>
      </x:c>
      <x:c r="Q60" s="130" t="str">
        <x:f>IF(P60="","",P60-'总览仪表盘'!$C$5)</x:f>
      </x:c>
      <x:c r="R60" s="19"/>
    </x:row>
    <x:row r="61">
      <x:c r="A61" s="126"/>
      <x:c r="B61" s="127"/>
      <x:c r="C61" s="128" t="n">
        <x:v>1</x:v>
      </x:c>
      <x:c r="D61" s="128"/>
      <x:c r="E61" s="128"/>
      <x:c r="F61" s="128"/>
      <x:c r="G61" s="128"/>
      <x:c r="H61" s="128"/>
      <x:c r="I61" s="129" t="str">
        <x:f>IF(COUNTA(E61:H61)=0,"",SUM(E61:H61))</x:f>
      </x:c>
      <x:c r="J61" s="130" t="str">
        <x:f>IF(I61="","",INDEX('评分规则'!$B$4:$B$44,MATCH(I61,'评分规则'!$A$4:$A$44,1)))</x:f>
      </x:c>
      <x:c r="K61" s="128"/>
      <x:c r="L61" s="128"/>
      <x:c r="M61" s="128"/>
      <x:c r="N61" s="129" t="str">
        <x:f>IF(COUNTA(K61:M61)=0,"",SUM(K61:M61))</x:f>
      </x:c>
      <x:c r="O61" s="130" t="str">
        <x:f>IF(N61="","",INDEX('评分规则'!$E$4:$E$44,MATCH(N61,'评分规则'!$D$4:$D$44,1)))</x:f>
      </x:c>
      <x:c r="P61" s="130" t="str">
        <x:f>IF(AND(J61="",O61=""),"",AVERAGE(J61,O61))</x:f>
      </x:c>
      <x:c r="Q61" s="130" t="str">
        <x:f>IF(P61="","",P61-'总览仪表盘'!$C$5)</x:f>
      </x:c>
      <x:c r="R61" s="19"/>
    </x:row>
    <x:row r="62">
      <x:c r="A62" s="126"/>
      <x:c r="B62" s="127"/>
      <x:c r="C62" s="128" t="n">
        <x:v>2</x:v>
      </x:c>
      <x:c r="D62" s="128"/>
      <x:c r="E62" s="128"/>
      <x:c r="F62" s="128"/>
      <x:c r="G62" s="128"/>
      <x:c r="H62" s="128"/>
      <x:c r="I62" s="129" t="str">
        <x:f>IF(COUNTA(E62:H62)=0,"",SUM(E62:H62))</x:f>
      </x:c>
      <x:c r="J62" s="130" t="str">
        <x:f>IF(I62="","",INDEX('评分规则'!$B$4:$B$44,MATCH(I62,'评分规则'!$A$4:$A$44,1)))</x:f>
      </x:c>
      <x:c r="K62" s="128"/>
      <x:c r="L62" s="128"/>
      <x:c r="M62" s="128"/>
      <x:c r="N62" s="129" t="str">
        <x:f>IF(COUNTA(K62:M62)=0,"",SUM(K62:M62))</x:f>
      </x:c>
      <x:c r="O62" s="130" t="str">
        <x:f>IF(N62="","",INDEX('评分规则'!$E$4:$E$44,MATCH(N62,'评分规则'!$D$4:$D$44,1)))</x:f>
      </x:c>
      <x:c r="P62" s="130" t="str">
        <x:f>IF(AND(J62="",O62=""),"",AVERAGE(J62,O62))</x:f>
      </x:c>
      <x:c r="Q62" s="130" t="str">
        <x:f>IF(P62="","",P62-'总览仪表盘'!$C$5)</x:f>
      </x:c>
      <x:c r="R62" s="19"/>
    </x:row>
    <x:row r="63">
      <x:c r="A63" s="126"/>
      <x:c r="B63" s="127"/>
      <x:c r="C63" s="128" t="n">
        <x:v>3</x:v>
      </x:c>
      <x:c r="D63" s="128"/>
      <x:c r="E63" s="128"/>
      <x:c r="F63" s="128"/>
      <x:c r="G63" s="128"/>
      <x:c r="H63" s="128"/>
      <x:c r="I63" s="129" t="str">
        <x:f>IF(COUNTA(E63:H63)=0,"",SUM(E63:H63))</x:f>
      </x:c>
      <x:c r="J63" s="130" t="str">
        <x:f>IF(I63="","",INDEX('评分规则'!$B$4:$B$44,MATCH(I63,'评分规则'!$A$4:$A$44,1)))</x:f>
      </x:c>
      <x:c r="K63" s="128"/>
      <x:c r="L63" s="128"/>
      <x:c r="M63" s="128"/>
      <x:c r="N63" s="129" t="str">
        <x:f>IF(COUNTA(K63:M63)=0,"",SUM(K63:M63))</x:f>
      </x:c>
      <x:c r="O63" s="130" t="str">
        <x:f>IF(N63="","",INDEX('评分规则'!$E$4:$E$44,MATCH(N63,'评分规则'!$D$4:$D$44,1)))</x:f>
      </x:c>
      <x:c r="P63" s="130" t="str">
        <x:f>IF(AND(J63="",O63=""),"",AVERAGE(J63,O63))</x:f>
      </x:c>
      <x:c r="Q63" s="130" t="str">
        <x:f>IF(P63="","",P63-'总览仪表盘'!$C$5)</x:f>
      </x:c>
      <x:c r="R63" s="19"/>
    </x:row>
    <x:row r="64">
      <x:c r="A64" s="126"/>
      <x:c r="B64" s="127"/>
      <x:c r="C64" s="128" t="n">
        <x:v>4</x:v>
      </x:c>
      <x:c r="D64" s="128"/>
      <x:c r="E64" s="128"/>
      <x:c r="F64" s="128"/>
      <x:c r="G64" s="128"/>
      <x:c r="H64" s="128"/>
      <x:c r="I64" s="129" t="str">
        <x:f>IF(COUNTA(E64:H64)=0,"",SUM(E64:H64))</x:f>
      </x:c>
      <x:c r="J64" s="130" t="str">
        <x:f>IF(I64="","",INDEX('评分规则'!$B$4:$B$44,MATCH(I64,'评分规则'!$A$4:$A$44,1)))</x:f>
      </x:c>
      <x:c r="K64" s="128"/>
      <x:c r="L64" s="128"/>
      <x:c r="M64" s="128"/>
      <x:c r="N64" s="129" t="str">
        <x:f>IF(COUNTA(K64:M64)=0,"",SUM(K64:M64))</x:f>
      </x:c>
      <x:c r="O64" s="130" t="str">
        <x:f>IF(N64="","",INDEX('评分规则'!$E$4:$E$44,MATCH(N64,'评分规则'!$D$4:$D$44,1)))</x:f>
      </x:c>
      <x:c r="P64" s="130" t="str">
        <x:f>IF(AND(J64="",O64=""),"",AVERAGE(J64,O64))</x:f>
      </x:c>
      <x:c r="Q64" s="130" t="str">
        <x:f>IF(P64="","",P64-'总览仪表盘'!$C$5)</x:f>
      </x:c>
      <x:c r="R64" s="19"/>
    </x:row>
    <x:row r="65">
      <x:c r="A65" s="126"/>
      <x:c r="B65" s="127"/>
      <x:c r="C65" s="128" t="n">
        <x:v>1</x:v>
      </x:c>
      <x:c r="D65" s="128"/>
      <x:c r="E65" s="128"/>
      <x:c r="F65" s="128"/>
      <x:c r="G65" s="128"/>
      <x:c r="H65" s="128"/>
      <x:c r="I65" s="129" t="str">
        <x:f>IF(COUNTA(E65:H65)=0,"",SUM(E65:H65))</x:f>
      </x:c>
      <x:c r="J65" s="130" t="str">
        <x:f>IF(I65="","",INDEX('评分规则'!$B$4:$B$44,MATCH(I65,'评分规则'!$A$4:$A$44,1)))</x:f>
      </x:c>
      <x:c r="K65" s="128"/>
      <x:c r="L65" s="128"/>
      <x:c r="M65" s="128"/>
      <x:c r="N65" s="129" t="str">
        <x:f>IF(COUNTA(K65:M65)=0,"",SUM(K65:M65))</x:f>
      </x:c>
      <x:c r="O65" s="130" t="str">
        <x:f>IF(N65="","",INDEX('评分规则'!$E$4:$E$44,MATCH(N65,'评分规则'!$D$4:$D$44,1)))</x:f>
      </x:c>
      <x:c r="P65" s="130" t="str">
        <x:f>IF(AND(J65="",O65=""),"",AVERAGE(J65,O65))</x:f>
      </x:c>
      <x:c r="Q65" s="130" t="str">
        <x:f>IF(P65="","",P65-'总览仪表盘'!$C$5)</x:f>
      </x:c>
      <x:c r="R65" s="19"/>
    </x:row>
    <x:row r="66">
      <x:c r="A66" s="126"/>
      <x:c r="B66" s="127"/>
      <x:c r="C66" s="128" t="n">
        <x:v>2</x:v>
      </x:c>
      <x:c r="D66" s="128"/>
      <x:c r="E66" s="128"/>
      <x:c r="F66" s="128"/>
      <x:c r="G66" s="128"/>
      <x:c r="H66" s="128"/>
      <x:c r="I66" s="129" t="str">
        <x:f>IF(COUNTA(E66:H66)=0,"",SUM(E66:H66))</x:f>
      </x:c>
      <x:c r="J66" s="130" t="str">
        <x:f>IF(I66="","",INDEX('评分规则'!$B$4:$B$44,MATCH(I66,'评分规则'!$A$4:$A$44,1)))</x:f>
      </x:c>
      <x:c r="K66" s="128"/>
      <x:c r="L66" s="128"/>
      <x:c r="M66" s="128"/>
      <x:c r="N66" s="129" t="str">
        <x:f>IF(COUNTA(K66:M66)=0,"",SUM(K66:M66))</x:f>
      </x:c>
      <x:c r="O66" s="130" t="str">
        <x:f>IF(N66="","",INDEX('评分规则'!$E$4:$E$44,MATCH(N66,'评分规则'!$D$4:$D$44,1)))</x:f>
      </x:c>
      <x:c r="P66" s="130" t="str">
        <x:f>IF(AND(J66="",O66=""),"",AVERAGE(J66,O66))</x:f>
      </x:c>
      <x:c r="Q66" s="130" t="str">
        <x:f>IF(P66="","",P66-'总览仪表盘'!$C$5)</x:f>
      </x:c>
      <x:c r="R66" s="19"/>
    </x:row>
    <x:row r="67">
      <x:c r="A67" s="126"/>
      <x:c r="B67" s="127"/>
      <x:c r="C67" s="128" t="n">
        <x:v>3</x:v>
      </x:c>
      <x:c r="D67" s="128"/>
      <x:c r="E67" s="128"/>
      <x:c r="F67" s="128"/>
      <x:c r="G67" s="128"/>
      <x:c r="H67" s="128"/>
      <x:c r="I67" s="129" t="str">
        <x:f>IF(COUNTA(E67:H67)=0,"",SUM(E67:H67))</x:f>
      </x:c>
      <x:c r="J67" s="130" t="str">
        <x:f>IF(I67="","",INDEX('评分规则'!$B$4:$B$44,MATCH(I67,'评分规则'!$A$4:$A$44,1)))</x:f>
      </x:c>
      <x:c r="K67" s="128"/>
      <x:c r="L67" s="128"/>
      <x:c r="M67" s="128"/>
      <x:c r="N67" s="129" t="str">
        <x:f>IF(COUNTA(K67:M67)=0,"",SUM(K67:M67))</x:f>
      </x:c>
      <x:c r="O67" s="130" t="str">
        <x:f>IF(N67="","",INDEX('评分规则'!$E$4:$E$44,MATCH(N67,'评分规则'!$D$4:$D$44,1)))</x:f>
      </x:c>
      <x:c r="P67" s="130" t="str">
        <x:f>IF(AND(J67="",O67=""),"",AVERAGE(J67,O67))</x:f>
      </x:c>
      <x:c r="Q67" s="130" t="str">
        <x:f>IF(P67="","",P67-'总览仪表盘'!$C$5)</x:f>
      </x:c>
      <x:c r="R67" s="19"/>
    </x:row>
    <x:row r="68">
      <x:c r="A68" s="126"/>
      <x:c r="B68" s="127"/>
      <x:c r="C68" s="128" t="n">
        <x:v>4</x:v>
      </x:c>
      <x:c r="D68" s="128"/>
      <x:c r="E68" s="128"/>
      <x:c r="F68" s="128"/>
      <x:c r="G68" s="128"/>
      <x:c r="H68" s="128"/>
      <x:c r="I68" s="129" t="str">
        <x:f>IF(COUNTA(E68:H68)=0,"",SUM(E68:H68))</x:f>
      </x:c>
      <x:c r="J68" s="130" t="str">
        <x:f>IF(I68="","",INDEX('评分规则'!$B$4:$B$44,MATCH(I68,'评分规则'!$A$4:$A$44,1)))</x:f>
      </x:c>
      <x:c r="K68" s="128"/>
      <x:c r="L68" s="128"/>
      <x:c r="M68" s="128"/>
      <x:c r="N68" s="129" t="str">
        <x:f>IF(COUNTA(K68:M68)=0,"",SUM(K68:M68))</x:f>
      </x:c>
      <x:c r="O68" s="130" t="str">
        <x:f>IF(N68="","",INDEX('评分规则'!$E$4:$E$44,MATCH(N68,'评分规则'!$D$4:$D$44,1)))</x:f>
      </x:c>
      <x:c r="P68" s="130" t="str">
        <x:f>IF(AND(J68="",O68=""),"",AVERAGE(J68,O68))</x:f>
      </x:c>
      <x:c r="Q68" s="130" t="str">
        <x:f>IF(P68="","",P68-'总览仪表盘'!$C$5)</x:f>
      </x:c>
      <x:c r="R68" s="19"/>
    </x:row>
    <x:row r="69">
      <x:c r="A69" s="126"/>
      <x:c r="B69" s="127"/>
      <x:c r="C69" s="128" t="n">
        <x:v>1</x:v>
      </x:c>
      <x:c r="D69" s="128"/>
      <x:c r="E69" s="128"/>
      <x:c r="F69" s="128"/>
      <x:c r="G69" s="128"/>
      <x:c r="H69" s="128"/>
      <x:c r="I69" s="129" t="str">
        <x:f>IF(COUNTA(E69:H69)=0,"",SUM(E69:H69))</x:f>
      </x:c>
      <x:c r="J69" s="130" t="str">
        <x:f>IF(I69="","",INDEX('评分规则'!$B$4:$B$44,MATCH(I69,'评分规则'!$A$4:$A$44,1)))</x:f>
      </x:c>
      <x:c r="K69" s="128"/>
      <x:c r="L69" s="128"/>
      <x:c r="M69" s="128"/>
      <x:c r="N69" s="129" t="str">
        <x:f>IF(COUNTA(K69:M69)=0,"",SUM(K69:M69))</x:f>
      </x:c>
      <x:c r="O69" s="130" t="str">
        <x:f>IF(N69="","",INDEX('评分规则'!$E$4:$E$44,MATCH(N69,'评分规则'!$D$4:$D$44,1)))</x:f>
      </x:c>
      <x:c r="P69" s="130" t="str">
        <x:f>IF(AND(J69="",O69=""),"",AVERAGE(J69,O69))</x:f>
      </x:c>
      <x:c r="Q69" s="130" t="str">
        <x:f>IF(P69="","",P69-'总览仪表盘'!$C$5)</x:f>
      </x:c>
      <x:c r="R69" s="19"/>
    </x:row>
    <x:row r="70">
      <x:c r="A70" s="126"/>
      <x:c r="B70" s="127"/>
      <x:c r="C70" s="128" t="n">
        <x:v>2</x:v>
      </x:c>
      <x:c r="D70" s="128"/>
      <x:c r="E70" s="128"/>
      <x:c r="F70" s="128"/>
      <x:c r="G70" s="128"/>
      <x:c r="H70" s="128"/>
      <x:c r="I70" s="129" t="str">
        <x:f>IF(COUNTA(E70:H70)=0,"",SUM(E70:H70))</x:f>
      </x:c>
      <x:c r="J70" s="130" t="str">
        <x:f>IF(I70="","",INDEX('评分规则'!$B$4:$B$44,MATCH(I70,'评分规则'!$A$4:$A$44,1)))</x:f>
      </x:c>
      <x:c r="K70" s="128"/>
      <x:c r="L70" s="128"/>
      <x:c r="M70" s="128"/>
      <x:c r="N70" s="129" t="str">
        <x:f>IF(COUNTA(K70:M70)=0,"",SUM(K70:M70))</x:f>
      </x:c>
      <x:c r="O70" s="130" t="str">
        <x:f>IF(N70="","",INDEX('评分规则'!$E$4:$E$44,MATCH(N70,'评分规则'!$D$4:$D$44,1)))</x:f>
      </x:c>
      <x:c r="P70" s="130" t="str">
        <x:f>IF(AND(J70="",O70=""),"",AVERAGE(J70,O70))</x:f>
      </x:c>
      <x:c r="Q70" s="130" t="str">
        <x:f>IF(P70="","",P70-'总览仪表盘'!$C$5)</x:f>
      </x:c>
      <x:c r="R70" s="19"/>
    </x:row>
    <x:row r="71">
      <x:c r="A71" s="126"/>
      <x:c r="B71" s="127"/>
      <x:c r="C71" s="128" t="n">
        <x:v>3</x:v>
      </x:c>
      <x:c r="D71" s="128"/>
      <x:c r="E71" s="128"/>
      <x:c r="F71" s="128"/>
      <x:c r="G71" s="128"/>
      <x:c r="H71" s="128"/>
      <x:c r="I71" s="129" t="str">
        <x:f>IF(COUNTA(E71:H71)=0,"",SUM(E71:H71))</x:f>
      </x:c>
      <x:c r="J71" s="130" t="str">
        <x:f>IF(I71="","",INDEX('评分规则'!$B$4:$B$44,MATCH(I71,'评分规则'!$A$4:$A$44,1)))</x:f>
      </x:c>
      <x:c r="K71" s="128"/>
      <x:c r="L71" s="128"/>
      <x:c r="M71" s="128"/>
      <x:c r="N71" s="129" t="str">
        <x:f>IF(COUNTA(K71:M71)=0,"",SUM(K71:M71))</x:f>
      </x:c>
      <x:c r="O71" s="130" t="str">
        <x:f>IF(N71="","",INDEX('评分规则'!$E$4:$E$44,MATCH(N71,'评分规则'!$D$4:$D$44,1)))</x:f>
      </x:c>
      <x:c r="P71" s="130" t="str">
        <x:f>IF(AND(J71="",O71=""),"",AVERAGE(J71,O71))</x:f>
      </x:c>
      <x:c r="Q71" s="130" t="str">
        <x:f>IF(P71="","",P71-'总览仪表盘'!$C$5)</x:f>
      </x:c>
      <x:c r="R71" s="19"/>
    </x:row>
    <x:row r="72">
      <x:c r="A72" s="126"/>
      <x:c r="B72" s="127"/>
      <x:c r="C72" s="128" t="n">
        <x:v>4</x:v>
      </x:c>
      <x:c r="D72" s="128"/>
      <x:c r="E72" s="128"/>
      <x:c r="F72" s="128"/>
      <x:c r="G72" s="128"/>
      <x:c r="H72" s="128"/>
      <x:c r="I72" s="129" t="str">
        <x:f>IF(COUNTA(E72:H72)=0,"",SUM(E72:H72))</x:f>
      </x:c>
      <x:c r="J72" s="130" t="str">
        <x:f>IF(I72="","",INDEX('评分规则'!$B$4:$B$44,MATCH(I72,'评分规则'!$A$4:$A$44,1)))</x:f>
      </x:c>
      <x:c r="K72" s="128"/>
      <x:c r="L72" s="128"/>
      <x:c r="M72" s="128"/>
      <x:c r="N72" s="129" t="str">
        <x:f>IF(COUNTA(K72:M72)=0,"",SUM(K72:M72))</x:f>
      </x:c>
      <x:c r="O72" s="130" t="str">
        <x:f>IF(N72="","",INDEX('评分规则'!$E$4:$E$44,MATCH(N72,'评分规则'!$D$4:$D$44,1)))</x:f>
      </x:c>
      <x:c r="P72" s="130" t="str">
        <x:f>IF(AND(J72="",O72=""),"",AVERAGE(J72,O72))</x:f>
      </x:c>
      <x:c r="Q72" s="130" t="str">
        <x:f>IF(P72="","",P72-'总览仪表盘'!$C$5)</x:f>
      </x:c>
      <x:c r="R72" s="19"/>
    </x:row>
    <x:row r="73">
      <x:c r="A73" s="126"/>
      <x:c r="B73" s="127"/>
      <x:c r="C73" s="128" t="n">
        <x:v>1</x:v>
      </x:c>
      <x:c r="D73" s="128"/>
      <x:c r="E73" s="128"/>
      <x:c r="F73" s="128"/>
      <x:c r="G73" s="128"/>
      <x:c r="H73" s="128"/>
      <x:c r="I73" s="129" t="str">
        <x:f>IF(COUNTA(E73:H73)=0,"",SUM(E73:H73))</x:f>
      </x:c>
      <x:c r="J73" s="130" t="str">
        <x:f>IF(I73="","",INDEX('评分规则'!$B$4:$B$44,MATCH(I73,'评分规则'!$A$4:$A$44,1)))</x:f>
      </x:c>
      <x:c r="K73" s="128"/>
      <x:c r="L73" s="128"/>
      <x:c r="M73" s="128"/>
      <x:c r="N73" s="129" t="str">
        <x:f>IF(COUNTA(K73:M73)=0,"",SUM(K73:M73))</x:f>
      </x:c>
      <x:c r="O73" s="130" t="str">
        <x:f>IF(N73="","",INDEX('评分规则'!$E$4:$E$44,MATCH(N73,'评分规则'!$D$4:$D$44,1)))</x:f>
      </x:c>
      <x:c r="P73" s="130" t="str">
        <x:f>IF(AND(J73="",O73=""),"",AVERAGE(J73,O73))</x:f>
      </x:c>
      <x:c r="Q73" s="130" t="str">
        <x:f>IF(P73="","",P73-'总览仪表盘'!$C$5)</x:f>
      </x:c>
      <x:c r="R73" s="19"/>
    </x:row>
    <x:row r="74">
      <x:c r="A74" s="126"/>
      <x:c r="B74" s="127"/>
      <x:c r="C74" s="128" t="n">
        <x:v>2</x:v>
      </x:c>
      <x:c r="D74" s="128"/>
      <x:c r="E74" s="128"/>
      <x:c r="F74" s="128"/>
      <x:c r="G74" s="128"/>
      <x:c r="H74" s="128"/>
      <x:c r="I74" s="129" t="str">
        <x:f>IF(COUNTA(E74:H74)=0,"",SUM(E74:H74))</x:f>
      </x:c>
      <x:c r="J74" s="130" t="str">
        <x:f>IF(I74="","",INDEX('评分规则'!$B$4:$B$44,MATCH(I74,'评分规则'!$A$4:$A$44,1)))</x:f>
      </x:c>
      <x:c r="K74" s="128"/>
      <x:c r="L74" s="128"/>
      <x:c r="M74" s="128"/>
      <x:c r="N74" s="129" t="str">
        <x:f>IF(COUNTA(K74:M74)=0,"",SUM(K74:M74))</x:f>
      </x:c>
      <x:c r="O74" s="130" t="str">
        <x:f>IF(N74="","",INDEX('评分规则'!$E$4:$E$44,MATCH(N74,'评分规则'!$D$4:$D$44,1)))</x:f>
      </x:c>
      <x:c r="P74" s="130" t="str">
        <x:f>IF(AND(J74="",O74=""),"",AVERAGE(J74,O74))</x:f>
      </x:c>
      <x:c r="Q74" s="130" t="str">
        <x:f>IF(P74="","",P74-'总览仪表盘'!$C$5)</x:f>
      </x:c>
      <x:c r="R74" s="19"/>
    </x:row>
    <x:row r="75">
      <x:c r="A75" s="126"/>
      <x:c r="B75" s="127"/>
      <x:c r="C75" s="128" t="n">
        <x:v>3</x:v>
      </x:c>
      <x:c r="D75" s="128"/>
      <x:c r="E75" s="128"/>
      <x:c r="F75" s="128"/>
      <x:c r="G75" s="128"/>
      <x:c r="H75" s="128"/>
      <x:c r="I75" s="129" t="str">
        <x:f>IF(COUNTA(E75:H75)=0,"",SUM(E75:H75))</x:f>
      </x:c>
      <x:c r="J75" s="130" t="str">
        <x:f>IF(I75="","",INDEX('评分规则'!$B$4:$B$44,MATCH(I75,'评分规则'!$A$4:$A$44,1)))</x:f>
      </x:c>
      <x:c r="K75" s="128"/>
      <x:c r="L75" s="128"/>
      <x:c r="M75" s="128"/>
      <x:c r="N75" s="129" t="str">
        <x:f>IF(COUNTA(K75:M75)=0,"",SUM(K75:M75))</x:f>
      </x:c>
      <x:c r="O75" s="130" t="str">
        <x:f>IF(N75="","",INDEX('评分规则'!$E$4:$E$44,MATCH(N75,'评分规则'!$D$4:$D$44,1)))</x:f>
      </x:c>
      <x:c r="P75" s="130" t="str">
        <x:f>IF(AND(J75="",O75=""),"",AVERAGE(J75,O75))</x:f>
      </x:c>
      <x:c r="Q75" s="130" t="str">
        <x:f>IF(P75="","",P75-'总览仪表盘'!$C$5)</x:f>
      </x:c>
      <x:c r="R75" s="19"/>
    </x:row>
    <x:row r="76">
      <x:c r="A76" s="126"/>
      <x:c r="B76" s="127"/>
      <x:c r="C76" s="128" t="n">
        <x:v>4</x:v>
      </x:c>
      <x:c r="D76" s="128"/>
      <x:c r="E76" s="128"/>
      <x:c r="F76" s="128"/>
      <x:c r="G76" s="128"/>
      <x:c r="H76" s="128"/>
      <x:c r="I76" s="129" t="str">
        <x:f>IF(COUNTA(E76:H76)=0,"",SUM(E76:H76))</x:f>
      </x:c>
      <x:c r="J76" s="130" t="str">
        <x:f>IF(I76="","",INDEX('评分规则'!$B$4:$B$44,MATCH(I76,'评分规则'!$A$4:$A$44,1)))</x:f>
      </x:c>
      <x:c r="K76" s="128"/>
      <x:c r="L76" s="128"/>
      <x:c r="M76" s="128"/>
      <x:c r="N76" s="129" t="str">
        <x:f>IF(COUNTA(K76:M76)=0,"",SUM(K76:M76))</x:f>
      </x:c>
      <x:c r="O76" s="130" t="str">
        <x:f>IF(N76="","",INDEX('评分规则'!$E$4:$E$44,MATCH(N76,'评分规则'!$D$4:$D$44,1)))</x:f>
      </x:c>
      <x:c r="P76" s="130" t="str">
        <x:f>IF(AND(J76="",O76=""),"",AVERAGE(J76,O76))</x:f>
      </x:c>
      <x:c r="Q76" s="130" t="str">
        <x:f>IF(P76="","",P76-'总览仪表盘'!$C$5)</x:f>
      </x:c>
      <x:c r="R76" s="19"/>
    </x:row>
    <x:row r="77">
      <x:c r="A77" s="126"/>
      <x:c r="B77" s="127"/>
      <x:c r="C77" s="128" t="n">
        <x:v>1</x:v>
      </x:c>
      <x:c r="D77" s="128"/>
      <x:c r="E77" s="128"/>
      <x:c r="F77" s="128"/>
      <x:c r="G77" s="128"/>
      <x:c r="H77" s="128"/>
      <x:c r="I77" s="129" t="str">
        <x:f>IF(COUNTA(E77:H77)=0,"",SUM(E77:H77))</x:f>
      </x:c>
      <x:c r="J77" s="130" t="str">
        <x:f>IF(I77="","",INDEX('评分规则'!$B$4:$B$44,MATCH(I77,'评分规则'!$A$4:$A$44,1)))</x:f>
      </x:c>
      <x:c r="K77" s="128"/>
      <x:c r="L77" s="128"/>
      <x:c r="M77" s="128"/>
      <x:c r="N77" s="129" t="str">
        <x:f>IF(COUNTA(K77:M77)=0,"",SUM(K77:M77))</x:f>
      </x:c>
      <x:c r="O77" s="130" t="str">
        <x:f>IF(N77="","",INDEX('评分规则'!$E$4:$E$44,MATCH(N77,'评分规则'!$D$4:$D$44,1)))</x:f>
      </x:c>
      <x:c r="P77" s="130" t="str">
        <x:f>IF(AND(J77="",O77=""),"",AVERAGE(J77,O77))</x:f>
      </x:c>
      <x:c r="Q77" s="130" t="str">
        <x:f>IF(P77="","",P77-'总览仪表盘'!$C$5)</x:f>
      </x:c>
      <x:c r="R77" s="19"/>
    </x:row>
    <x:row r="78">
      <x:c r="A78" s="126"/>
      <x:c r="B78" s="127"/>
      <x:c r="C78" s="128" t="n">
        <x:v>2</x:v>
      </x:c>
      <x:c r="D78" s="128"/>
      <x:c r="E78" s="128"/>
      <x:c r="F78" s="128"/>
      <x:c r="G78" s="128"/>
      <x:c r="H78" s="128"/>
      <x:c r="I78" s="129" t="str">
        <x:f>IF(COUNTA(E78:H78)=0,"",SUM(E78:H78))</x:f>
      </x:c>
      <x:c r="J78" s="130" t="str">
        <x:f>IF(I78="","",INDEX('评分规则'!$B$4:$B$44,MATCH(I78,'评分规则'!$A$4:$A$44,1)))</x:f>
      </x:c>
      <x:c r="K78" s="128"/>
      <x:c r="L78" s="128"/>
      <x:c r="M78" s="128"/>
      <x:c r="N78" s="129" t="str">
        <x:f>IF(COUNTA(K78:M78)=0,"",SUM(K78:M78))</x:f>
      </x:c>
      <x:c r="O78" s="130" t="str">
        <x:f>IF(N78="","",INDEX('评分规则'!$E$4:$E$44,MATCH(N78,'评分规则'!$D$4:$D$44,1)))</x:f>
      </x:c>
      <x:c r="P78" s="130" t="str">
        <x:f>IF(AND(J78="",O78=""),"",AVERAGE(J78,O78))</x:f>
      </x:c>
      <x:c r="Q78" s="130" t="str">
        <x:f>IF(P78="","",P78-'总览仪表盘'!$C$5)</x:f>
      </x:c>
      <x:c r="R78" s="19"/>
    </x:row>
    <x:row r="79">
      <x:c r="A79" s="126"/>
      <x:c r="B79" s="127"/>
      <x:c r="C79" s="128" t="n">
        <x:v>3</x:v>
      </x:c>
      <x:c r="D79" s="128"/>
      <x:c r="E79" s="128"/>
      <x:c r="F79" s="128"/>
      <x:c r="G79" s="128"/>
      <x:c r="H79" s="128"/>
      <x:c r="I79" s="129" t="str">
        <x:f>IF(COUNTA(E79:H79)=0,"",SUM(E79:H79))</x:f>
      </x:c>
      <x:c r="J79" s="130" t="str">
        <x:f>IF(I79="","",INDEX('评分规则'!$B$4:$B$44,MATCH(I79,'评分规则'!$A$4:$A$44,1)))</x:f>
      </x:c>
      <x:c r="K79" s="128"/>
      <x:c r="L79" s="128"/>
      <x:c r="M79" s="128"/>
      <x:c r="N79" s="129" t="str">
        <x:f>IF(COUNTA(K79:M79)=0,"",SUM(K79:M79))</x:f>
      </x:c>
      <x:c r="O79" s="130" t="str">
        <x:f>IF(N79="","",INDEX('评分规则'!$E$4:$E$44,MATCH(N79,'评分规则'!$D$4:$D$44,1)))</x:f>
      </x:c>
      <x:c r="P79" s="130" t="str">
        <x:f>IF(AND(J79="",O79=""),"",AVERAGE(J79,O79))</x:f>
      </x:c>
      <x:c r="Q79" s="130" t="str">
        <x:f>IF(P79="","",P79-'总览仪表盘'!$C$5)</x:f>
      </x:c>
      <x:c r="R79" s="19"/>
    </x:row>
    <x:row r="80">
      <x:c r="A80" s="126"/>
      <x:c r="B80" s="127"/>
      <x:c r="C80" s="128" t="n">
        <x:v>4</x:v>
      </x:c>
      <x:c r="D80" s="128"/>
      <x:c r="E80" s="128"/>
      <x:c r="F80" s="128"/>
      <x:c r="G80" s="128"/>
      <x:c r="H80" s="128"/>
      <x:c r="I80" s="129" t="str">
        <x:f>IF(COUNTA(E80:H80)=0,"",SUM(E80:H80))</x:f>
      </x:c>
      <x:c r="J80" s="130" t="str">
        <x:f>IF(I80="","",INDEX('评分规则'!$B$4:$B$44,MATCH(I80,'评分规则'!$A$4:$A$44,1)))</x:f>
      </x:c>
      <x:c r="K80" s="128"/>
      <x:c r="L80" s="128"/>
      <x:c r="M80" s="128"/>
      <x:c r="N80" s="129" t="str">
        <x:f>IF(COUNTA(K80:M80)=0,"",SUM(K80:M80))</x:f>
      </x:c>
      <x:c r="O80" s="130" t="str">
        <x:f>IF(N80="","",INDEX('评分规则'!$E$4:$E$44,MATCH(N80,'评分规则'!$D$4:$D$44,1)))</x:f>
      </x:c>
      <x:c r="P80" s="130" t="str">
        <x:f>IF(AND(J80="",O80=""),"",AVERAGE(J80,O80))</x:f>
      </x:c>
      <x:c r="Q80" s="130" t="str">
        <x:f>IF(P80="","",P80-'总览仪表盘'!$C$5)</x:f>
      </x:c>
      <x:c r="R80" s="19"/>
    </x:row>
    <x:row r="81">
      <x:c r="A81" s="126"/>
      <x:c r="B81" s="127"/>
      <x:c r="C81" s="128" t="n">
        <x:v>1</x:v>
      </x:c>
      <x:c r="D81" s="128"/>
      <x:c r="E81" s="128"/>
      <x:c r="F81" s="128"/>
      <x:c r="G81" s="128"/>
      <x:c r="H81" s="128"/>
      <x:c r="I81" s="129" t="str">
        <x:f>IF(COUNTA(E81:H81)=0,"",SUM(E81:H81))</x:f>
      </x:c>
      <x:c r="J81" s="130" t="str">
        <x:f>IF(I81="","",INDEX('评分规则'!$B$4:$B$44,MATCH(I81,'评分规则'!$A$4:$A$44,1)))</x:f>
      </x:c>
      <x:c r="K81" s="128"/>
      <x:c r="L81" s="128"/>
      <x:c r="M81" s="128"/>
      <x:c r="N81" s="129" t="str">
        <x:f>IF(COUNTA(K81:M81)=0,"",SUM(K81:M81))</x:f>
      </x:c>
      <x:c r="O81" s="130" t="str">
        <x:f>IF(N81="","",INDEX('评分规则'!$E$4:$E$44,MATCH(N81,'评分规则'!$D$4:$D$44,1)))</x:f>
      </x:c>
      <x:c r="P81" s="130" t="str">
        <x:f>IF(AND(J81="",O81=""),"",AVERAGE(J81,O81))</x:f>
      </x:c>
      <x:c r="Q81" s="130" t="str">
        <x:f>IF(P81="","",P81-'总览仪表盘'!$C$5)</x:f>
      </x:c>
      <x:c r="R81" s="19"/>
    </x:row>
    <x:row r="82">
      <x:c r="A82" s="126"/>
      <x:c r="B82" s="127"/>
      <x:c r="C82" s="128" t="n">
        <x:v>2</x:v>
      </x:c>
      <x:c r="D82" s="128"/>
      <x:c r="E82" s="128"/>
      <x:c r="F82" s="128"/>
      <x:c r="G82" s="128"/>
      <x:c r="H82" s="128"/>
      <x:c r="I82" s="129" t="str">
        <x:f>IF(COUNTA(E82:H82)=0,"",SUM(E82:H82))</x:f>
      </x:c>
      <x:c r="J82" s="130" t="str">
        <x:f>IF(I82="","",INDEX('评分规则'!$B$4:$B$44,MATCH(I82,'评分规则'!$A$4:$A$44,1)))</x:f>
      </x:c>
      <x:c r="K82" s="128"/>
      <x:c r="L82" s="128"/>
      <x:c r="M82" s="128"/>
      <x:c r="N82" s="129" t="str">
        <x:f>IF(COUNTA(K82:M82)=0,"",SUM(K82:M82))</x:f>
      </x:c>
      <x:c r="O82" s="130" t="str">
        <x:f>IF(N82="","",INDEX('评分规则'!$E$4:$E$44,MATCH(N82,'评分规则'!$D$4:$D$44,1)))</x:f>
      </x:c>
      <x:c r="P82" s="130" t="str">
        <x:f>IF(AND(J82="",O82=""),"",AVERAGE(J82,O82))</x:f>
      </x:c>
      <x:c r="Q82" s="130" t="str">
        <x:f>IF(P82="","",P82-'总览仪表盘'!$C$5)</x:f>
      </x:c>
      <x:c r="R82" s="19"/>
    </x:row>
    <x:row r="83">
      <x:c r="A83" s="126"/>
      <x:c r="B83" s="127"/>
      <x:c r="C83" s="128" t="n">
        <x:v>3</x:v>
      </x:c>
      <x:c r="D83" s="128"/>
      <x:c r="E83" s="128"/>
      <x:c r="F83" s="128"/>
      <x:c r="G83" s="128"/>
      <x:c r="H83" s="128"/>
      <x:c r="I83" s="129" t="str">
        <x:f>IF(COUNTA(E83:H83)=0,"",SUM(E83:H83))</x:f>
      </x:c>
      <x:c r="J83" s="130" t="str">
        <x:f>IF(I83="","",INDEX('评分规则'!$B$4:$B$44,MATCH(I83,'评分规则'!$A$4:$A$44,1)))</x:f>
      </x:c>
      <x:c r="K83" s="128"/>
      <x:c r="L83" s="128"/>
      <x:c r="M83" s="128"/>
      <x:c r="N83" s="129" t="str">
        <x:f>IF(COUNTA(K83:M83)=0,"",SUM(K83:M83))</x:f>
      </x:c>
      <x:c r="O83" s="130" t="str">
        <x:f>IF(N83="","",INDEX('评分规则'!$E$4:$E$44,MATCH(N83,'评分规则'!$D$4:$D$44,1)))</x:f>
      </x:c>
      <x:c r="P83" s="130" t="str">
        <x:f>IF(AND(J83="",O83=""),"",AVERAGE(J83,O83))</x:f>
      </x:c>
      <x:c r="Q83" s="130" t="str">
        <x:f>IF(P83="","",P83-'总览仪表盘'!$C$5)</x:f>
      </x:c>
      <x:c r="R83" s="19"/>
    </x:row>
    <x:row r="84">
      <x:c r="A84" s="126"/>
      <x:c r="B84" s="127"/>
      <x:c r="C84" s="128" t="n">
        <x:v>4</x:v>
      </x:c>
      <x:c r="D84" s="128"/>
      <x:c r="E84" s="128"/>
      <x:c r="F84" s="128"/>
      <x:c r="G84" s="128"/>
      <x:c r="H84" s="128"/>
      <x:c r="I84" s="129" t="str">
        <x:f>IF(COUNTA(E84:H84)=0,"",SUM(E84:H84))</x:f>
      </x:c>
      <x:c r="J84" s="130" t="str">
        <x:f>IF(I84="","",INDEX('评分规则'!$B$4:$B$44,MATCH(I84,'评分规则'!$A$4:$A$44,1)))</x:f>
      </x:c>
      <x:c r="K84" s="128"/>
      <x:c r="L84" s="128"/>
      <x:c r="M84" s="128"/>
      <x:c r="N84" s="129" t="str">
        <x:f>IF(COUNTA(K84:M84)=0,"",SUM(K84:M84))</x:f>
      </x:c>
      <x:c r="O84" s="130" t="str">
        <x:f>IF(N84="","",INDEX('评分规则'!$E$4:$E$44,MATCH(N84,'评分规则'!$D$4:$D$44,1)))</x:f>
      </x:c>
      <x:c r="P84" s="130" t="str">
        <x:f>IF(AND(J84="",O84=""),"",AVERAGE(J84,O84))</x:f>
      </x:c>
      <x:c r="Q84" s="130" t="str">
        <x:f>IF(P84="","",P84-'总览仪表盘'!$C$5)</x:f>
      </x:c>
      <x:c r="R84" s="19"/>
    </x:row>
    <x:row r="85">
      <x:c r="A85" s="126"/>
      <x:c r="B85" s="127"/>
      <x:c r="C85" s="128" t="n">
        <x:v>1</x:v>
      </x:c>
      <x:c r="D85" s="128"/>
      <x:c r="E85" s="128"/>
      <x:c r="F85" s="128"/>
      <x:c r="G85" s="128"/>
      <x:c r="H85" s="128"/>
      <x:c r="I85" s="129" t="str">
        <x:f>IF(COUNTA(E85:H85)=0,"",SUM(E85:H85))</x:f>
      </x:c>
      <x:c r="J85" s="130" t="str">
        <x:f>IF(I85="","",INDEX('评分规则'!$B$4:$B$44,MATCH(I85,'评分规则'!$A$4:$A$44,1)))</x:f>
      </x:c>
      <x:c r="K85" s="128"/>
      <x:c r="L85" s="128"/>
      <x:c r="M85" s="128"/>
      <x:c r="N85" s="129" t="str">
        <x:f>IF(COUNTA(K85:M85)=0,"",SUM(K85:M85))</x:f>
      </x:c>
      <x:c r="O85" s="130" t="str">
        <x:f>IF(N85="","",INDEX('评分规则'!$E$4:$E$44,MATCH(N85,'评分规则'!$D$4:$D$44,1)))</x:f>
      </x:c>
      <x:c r="P85" s="130" t="str">
        <x:f>IF(AND(J85="",O85=""),"",AVERAGE(J85,O85))</x:f>
      </x:c>
      <x:c r="Q85" s="130" t="str">
        <x:f>IF(P85="","",P85-'总览仪表盘'!$C$5)</x:f>
      </x:c>
      <x:c r="R85" s="19"/>
    </x:row>
    <x:row r="86">
      <x:c r="A86" s="126"/>
      <x:c r="B86" s="127"/>
      <x:c r="C86" s="128" t="n">
        <x:v>2</x:v>
      </x:c>
      <x:c r="D86" s="128"/>
      <x:c r="E86" s="128"/>
      <x:c r="F86" s="128"/>
      <x:c r="G86" s="128"/>
      <x:c r="H86" s="128"/>
      <x:c r="I86" s="129" t="str">
        <x:f>IF(COUNTA(E86:H86)=0,"",SUM(E86:H86))</x:f>
      </x:c>
      <x:c r="J86" s="130" t="str">
        <x:f>IF(I86="","",INDEX('评分规则'!$B$4:$B$44,MATCH(I86,'评分规则'!$A$4:$A$44,1)))</x:f>
      </x:c>
      <x:c r="K86" s="128"/>
      <x:c r="L86" s="128"/>
      <x:c r="M86" s="128"/>
      <x:c r="N86" s="129" t="str">
        <x:f>IF(COUNTA(K86:M86)=0,"",SUM(K86:M86))</x:f>
      </x:c>
      <x:c r="O86" s="130" t="str">
        <x:f>IF(N86="","",INDEX('评分规则'!$E$4:$E$44,MATCH(N86,'评分规则'!$D$4:$D$44,1)))</x:f>
      </x:c>
      <x:c r="P86" s="130" t="str">
        <x:f>IF(AND(J86="",O86=""),"",AVERAGE(J86,O86))</x:f>
      </x:c>
      <x:c r="Q86" s="130" t="str">
        <x:f>IF(P86="","",P86-'总览仪表盘'!$C$5)</x:f>
      </x:c>
      <x:c r="R86" s="19"/>
    </x:row>
    <x:row r="87">
      <x:c r="A87" s="126"/>
      <x:c r="B87" s="127"/>
      <x:c r="C87" s="128" t="n">
        <x:v>3</x:v>
      </x:c>
      <x:c r="D87" s="128"/>
      <x:c r="E87" s="128"/>
      <x:c r="F87" s="128"/>
      <x:c r="G87" s="128"/>
      <x:c r="H87" s="128"/>
      <x:c r="I87" s="129" t="str">
        <x:f>IF(COUNTA(E87:H87)=0,"",SUM(E87:H87))</x:f>
      </x:c>
      <x:c r="J87" s="130" t="str">
        <x:f>IF(I87="","",INDEX('评分规则'!$B$4:$B$44,MATCH(I87,'评分规则'!$A$4:$A$44,1)))</x:f>
      </x:c>
      <x:c r="K87" s="128"/>
      <x:c r="L87" s="128"/>
      <x:c r="M87" s="128"/>
      <x:c r="N87" s="129" t="str">
        <x:f>IF(COUNTA(K87:M87)=0,"",SUM(K87:M87))</x:f>
      </x:c>
      <x:c r="O87" s="130" t="str">
        <x:f>IF(N87="","",INDEX('评分规则'!$E$4:$E$44,MATCH(N87,'评分规则'!$D$4:$D$44,1)))</x:f>
      </x:c>
      <x:c r="P87" s="130" t="str">
        <x:f>IF(AND(J87="",O87=""),"",AVERAGE(J87,O87))</x:f>
      </x:c>
      <x:c r="Q87" s="130" t="str">
        <x:f>IF(P87="","",P87-'总览仪表盘'!$C$5)</x:f>
      </x:c>
      <x:c r="R87" s="19"/>
    </x:row>
    <x:row r="88">
      <x:c r="A88" s="126"/>
      <x:c r="B88" s="127"/>
      <x:c r="C88" s="128" t="n">
        <x:v>4</x:v>
      </x:c>
      <x:c r="D88" s="128"/>
      <x:c r="E88" s="128"/>
      <x:c r="F88" s="128"/>
      <x:c r="G88" s="128"/>
      <x:c r="H88" s="128"/>
      <x:c r="I88" s="129" t="str">
        <x:f>IF(COUNTA(E88:H88)=0,"",SUM(E88:H88))</x:f>
      </x:c>
      <x:c r="J88" s="130" t="str">
        <x:f>IF(I88="","",INDEX('评分规则'!$B$4:$B$44,MATCH(I88,'评分规则'!$A$4:$A$44,1)))</x:f>
      </x:c>
      <x:c r="K88" s="128"/>
      <x:c r="L88" s="128"/>
      <x:c r="M88" s="128"/>
      <x:c r="N88" s="129" t="str">
        <x:f>IF(COUNTA(K88:M88)=0,"",SUM(K88:M88))</x:f>
      </x:c>
      <x:c r="O88" s="130" t="str">
        <x:f>IF(N88="","",INDEX('评分规则'!$E$4:$E$44,MATCH(N88,'评分规则'!$D$4:$D$44,1)))</x:f>
      </x:c>
      <x:c r="P88" s="130" t="str">
        <x:f>IF(AND(J88="",O88=""),"",AVERAGE(J88,O88))</x:f>
      </x:c>
      <x:c r="Q88" s="130" t="str">
        <x:f>IF(P88="","",P88-'总览仪表盘'!$C$5)</x:f>
      </x:c>
      <x:c r="R88" s="19"/>
    </x:row>
    <x:row r="89">
      <x:c r="A89" s="126"/>
      <x:c r="B89" s="127"/>
      <x:c r="C89" s="128" t="n">
        <x:v>1</x:v>
      </x:c>
      <x:c r="D89" s="128"/>
      <x:c r="E89" s="128"/>
      <x:c r="F89" s="128"/>
      <x:c r="G89" s="128"/>
      <x:c r="H89" s="128"/>
      <x:c r="I89" s="129" t="str">
        <x:f>IF(COUNTA(E89:H89)=0,"",SUM(E89:H89))</x:f>
      </x:c>
      <x:c r="J89" s="130" t="str">
        <x:f>IF(I89="","",INDEX('评分规则'!$B$4:$B$44,MATCH(I89,'评分规则'!$A$4:$A$44,1)))</x:f>
      </x:c>
      <x:c r="K89" s="128"/>
      <x:c r="L89" s="128"/>
      <x:c r="M89" s="128"/>
      <x:c r="N89" s="129" t="str">
        <x:f>IF(COUNTA(K89:M89)=0,"",SUM(K89:M89))</x:f>
      </x:c>
      <x:c r="O89" s="130" t="str">
        <x:f>IF(N89="","",INDEX('评分规则'!$E$4:$E$44,MATCH(N89,'评分规则'!$D$4:$D$44,1)))</x:f>
      </x:c>
      <x:c r="P89" s="130" t="str">
        <x:f>IF(AND(J89="",O89=""),"",AVERAGE(J89,O89))</x:f>
      </x:c>
      <x:c r="Q89" s="130" t="str">
        <x:f>IF(P89="","",P89-'总览仪表盘'!$C$5)</x:f>
      </x:c>
      <x:c r="R89" s="19"/>
    </x:row>
    <x:row r="90">
      <x:c r="A90" s="126"/>
      <x:c r="B90" s="127"/>
      <x:c r="C90" s="128" t="n">
        <x:v>2</x:v>
      </x:c>
      <x:c r="D90" s="128"/>
      <x:c r="E90" s="128"/>
      <x:c r="F90" s="128"/>
      <x:c r="G90" s="128"/>
      <x:c r="H90" s="128"/>
      <x:c r="I90" s="129" t="str">
        <x:f>IF(COUNTA(E90:H90)=0,"",SUM(E90:H90))</x:f>
      </x:c>
      <x:c r="J90" s="130" t="str">
        <x:f>IF(I90="","",INDEX('评分规则'!$B$4:$B$44,MATCH(I90,'评分规则'!$A$4:$A$44,1)))</x:f>
      </x:c>
      <x:c r="K90" s="128"/>
      <x:c r="L90" s="128"/>
      <x:c r="M90" s="128"/>
      <x:c r="N90" s="129" t="str">
        <x:f>IF(COUNTA(K90:M90)=0,"",SUM(K90:M90))</x:f>
      </x:c>
      <x:c r="O90" s="130" t="str">
        <x:f>IF(N90="","",INDEX('评分规则'!$E$4:$E$44,MATCH(N90,'评分规则'!$D$4:$D$44,1)))</x:f>
      </x:c>
      <x:c r="P90" s="130" t="str">
        <x:f>IF(AND(J90="",O90=""),"",AVERAGE(J90,O90))</x:f>
      </x:c>
      <x:c r="Q90" s="130" t="str">
        <x:f>IF(P90="","",P90-'总览仪表盘'!$C$5)</x:f>
      </x:c>
      <x:c r="R90" s="19"/>
    </x:row>
    <x:row r="91">
      <x:c r="A91" s="126"/>
      <x:c r="B91" s="127"/>
      <x:c r="C91" s="128" t="n">
        <x:v>3</x:v>
      </x:c>
      <x:c r="D91" s="128"/>
      <x:c r="E91" s="128"/>
      <x:c r="F91" s="128"/>
      <x:c r="G91" s="128"/>
      <x:c r="H91" s="128"/>
      <x:c r="I91" s="129" t="str">
        <x:f>IF(COUNTA(E91:H91)=0,"",SUM(E91:H91))</x:f>
      </x:c>
      <x:c r="J91" s="130" t="str">
        <x:f>IF(I91="","",INDEX('评分规则'!$B$4:$B$44,MATCH(I91,'评分规则'!$A$4:$A$44,1)))</x:f>
      </x:c>
      <x:c r="K91" s="128"/>
      <x:c r="L91" s="128"/>
      <x:c r="M91" s="128"/>
      <x:c r="N91" s="129" t="str">
        <x:f>IF(COUNTA(K91:M91)=0,"",SUM(K91:M91))</x:f>
      </x:c>
      <x:c r="O91" s="130" t="str">
        <x:f>IF(N91="","",INDEX('评分规则'!$E$4:$E$44,MATCH(N91,'评分规则'!$D$4:$D$44,1)))</x:f>
      </x:c>
      <x:c r="P91" s="130" t="str">
        <x:f>IF(AND(J91="",O91=""),"",AVERAGE(J91,O91))</x:f>
      </x:c>
      <x:c r="Q91" s="130" t="str">
        <x:f>IF(P91="","",P91-'总览仪表盘'!$C$5)</x:f>
      </x:c>
      <x:c r="R91" s="19"/>
    </x:row>
    <x:row r="92">
      <x:c r="A92" s="126"/>
      <x:c r="B92" s="127"/>
      <x:c r="C92" s="128" t="n">
        <x:v>4</x:v>
      </x:c>
      <x:c r="D92" s="128"/>
      <x:c r="E92" s="128"/>
      <x:c r="F92" s="128"/>
      <x:c r="G92" s="128"/>
      <x:c r="H92" s="128"/>
      <x:c r="I92" s="129" t="str">
        <x:f>IF(COUNTA(E92:H92)=0,"",SUM(E92:H92))</x:f>
      </x:c>
      <x:c r="J92" s="130" t="str">
        <x:f>IF(I92="","",INDEX('评分规则'!$B$4:$B$44,MATCH(I92,'评分规则'!$A$4:$A$44,1)))</x:f>
      </x:c>
      <x:c r="K92" s="128"/>
      <x:c r="L92" s="128"/>
      <x:c r="M92" s="128"/>
      <x:c r="N92" s="129" t="str">
        <x:f>IF(COUNTA(K92:M92)=0,"",SUM(K92:M92))</x:f>
      </x:c>
      <x:c r="O92" s="130" t="str">
        <x:f>IF(N92="","",INDEX('评分规则'!$E$4:$E$44,MATCH(N92,'评分规则'!$D$4:$D$44,1)))</x:f>
      </x:c>
      <x:c r="P92" s="130" t="str">
        <x:f>IF(AND(J92="",O92=""),"",AVERAGE(J92,O92))</x:f>
      </x:c>
      <x:c r="Q92" s="130" t="str">
        <x:f>IF(P92="","",P92-'总览仪表盘'!$C$5)</x:f>
      </x:c>
      <x:c r="R92" s="19"/>
    </x:row>
    <x:row r="93">
      <x:c r="A93" s="126"/>
      <x:c r="B93" s="127"/>
      <x:c r="C93" s="128" t="n">
        <x:v>1</x:v>
      </x:c>
      <x:c r="D93" s="128"/>
      <x:c r="E93" s="128"/>
      <x:c r="F93" s="128"/>
      <x:c r="G93" s="128"/>
      <x:c r="H93" s="128"/>
      <x:c r="I93" s="129" t="str">
        <x:f>IF(COUNTA(E93:H93)=0,"",SUM(E93:H93))</x:f>
      </x:c>
      <x:c r="J93" s="130" t="str">
        <x:f>IF(I93="","",INDEX('评分规则'!$B$4:$B$44,MATCH(I93,'评分规则'!$A$4:$A$44,1)))</x:f>
      </x:c>
      <x:c r="K93" s="128"/>
      <x:c r="L93" s="128"/>
      <x:c r="M93" s="128"/>
      <x:c r="N93" s="129" t="str">
        <x:f>IF(COUNTA(K93:M93)=0,"",SUM(K93:M93))</x:f>
      </x:c>
      <x:c r="O93" s="130" t="str">
        <x:f>IF(N93="","",INDEX('评分规则'!$E$4:$E$44,MATCH(N93,'评分规则'!$D$4:$D$44,1)))</x:f>
      </x:c>
      <x:c r="P93" s="130" t="str">
        <x:f>IF(AND(J93="",O93=""),"",AVERAGE(J93,O93))</x:f>
      </x:c>
      <x:c r="Q93" s="130" t="str">
        <x:f>IF(P93="","",P93-'总览仪表盘'!$C$5)</x:f>
      </x:c>
      <x:c r="R93" s="19"/>
    </x:row>
    <x:row r="94">
      <x:c r="A94" s="126"/>
      <x:c r="B94" s="127"/>
      <x:c r="C94" s="128" t="n">
        <x:v>2</x:v>
      </x:c>
      <x:c r="D94" s="128"/>
      <x:c r="E94" s="128"/>
      <x:c r="F94" s="128"/>
      <x:c r="G94" s="128"/>
      <x:c r="H94" s="128"/>
      <x:c r="I94" s="129" t="str">
        <x:f>IF(COUNTA(E94:H94)=0,"",SUM(E94:H94))</x:f>
      </x:c>
      <x:c r="J94" s="130" t="str">
        <x:f>IF(I94="","",INDEX('评分规则'!$B$4:$B$44,MATCH(I94,'评分规则'!$A$4:$A$44,1)))</x:f>
      </x:c>
      <x:c r="K94" s="128"/>
      <x:c r="L94" s="128"/>
      <x:c r="M94" s="128"/>
      <x:c r="N94" s="129" t="str">
        <x:f>IF(COUNTA(K94:M94)=0,"",SUM(K94:M94))</x:f>
      </x:c>
      <x:c r="O94" s="130" t="str">
        <x:f>IF(N94="","",INDEX('评分规则'!$E$4:$E$44,MATCH(N94,'评分规则'!$D$4:$D$44,1)))</x:f>
      </x:c>
      <x:c r="P94" s="130" t="str">
        <x:f>IF(AND(J94="",O94=""),"",AVERAGE(J94,O94))</x:f>
      </x:c>
      <x:c r="Q94" s="130" t="str">
        <x:f>IF(P94="","",P94-'总览仪表盘'!$C$5)</x:f>
      </x:c>
      <x:c r="R94" s="19"/>
    </x:row>
    <x:row r="95">
      <x:c r="A95" s="126"/>
      <x:c r="B95" s="127"/>
      <x:c r="C95" s="128" t="n">
        <x:v>3</x:v>
      </x:c>
      <x:c r="D95" s="128"/>
      <x:c r="E95" s="128"/>
      <x:c r="F95" s="128"/>
      <x:c r="G95" s="128"/>
      <x:c r="H95" s="128"/>
      <x:c r="I95" s="129" t="str">
        <x:f>IF(COUNTA(E95:H95)=0,"",SUM(E95:H95))</x:f>
      </x:c>
      <x:c r="J95" s="130" t="str">
        <x:f>IF(I95="","",INDEX('评分规则'!$B$4:$B$44,MATCH(I95,'评分规则'!$A$4:$A$44,1)))</x:f>
      </x:c>
      <x:c r="K95" s="128"/>
      <x:c r="L95" s="128"/>
      <x:c r="M95" s="128"/>
      <x:c r="N95" s="129" t="str">
        <x:f>IF(COUNTA(K95:M95)=0,"",SUM(K95:M95))</x:f>
      </x:c>
      <x:c r="O95" s="130" t="str">
        <x:f>IF(N95="","",INDEX('评分规则'!$E$4:$E$44,MATCH(N95,'评分规则'!$D$4:$D$44,1)))</x:f>
      </x:c>
      <x:c r="P95" s="130" t="str">
        <x:f>IF(AND(J95="",O95=""),"",AVERAGE(J95,O95))</x:f>
      </x:c>
      <x:c r="Q95" s="130" t="str">
        <x:f>IF(P95="","",P95-'总览仪表盘'!$C$5)</x:f>
      </x:c>
      <x:c r="R95" s="19"/>
    </x:row>
    <x:row r="96">
      <x:c r="A96" s="126"/>
      <x:c r="B96" s="127"/>
      <x:c r="C96" s="128" t="n">
        <x:v>4</x:v>
      </x:c>
      <x:c r="D96" s="128"/>
      <x:c r="E96" s="128"/>
      <x:c r="F96" s="128"/>
      <x:c r="G96" s="128"/>
      <x:c r="H96" s="128"/>
      <x:c r="I96" s="129" t="str">
        <x:f>IF(COUNTA(E96:H96)=0,"",SUM(E96:H96))</x:f>
      </x:c>
      <x:c r="J96" s="130" t="str">
        <x:f>IF(I96="","",INDEX('评分规则'!$B$4:$B$44,MATCH(I96,'评分规则'!$A$4:$A$44,1)))</x:f>
      </x:c>
      <x:c r="K96" s="128"/>
      <x:c r="L96" s="128"/>
      <x:c r="M96" s="128"/>
      <x:c r="N96" s="129" t="str">
        <x:f>IF(COUNTA(K96:M96)=0,"",SUM(K96:M96))</x:f>
      </x:c>
      <x:c r="O96" s="130" t="str">
        <x:f>IF(N96="","",INDEX('评分规则'!$E$4:$E$44,MATCH(N96,'评分规则'!$D$4:$D$44,1)))</x:f>
      </x:c>
      <x:c r="P96" s="130" t="str">
        <x:f>IF(AND(J96="",O96=""),"",AVERAGE(J96,O96))</x:f>
      </x:c>
      <x:c r="Q96" s="130" t="str">
        <x:f>IF(P96="","",P96-'总览仪表盘'!$C$5)</x:f>
      </x:c>
      <x:c r="R96" s="19"/>
    </x:row>
    <x:row r="97">
      <x:c r="A97" s="126"/>
      <x:c r="B97" s="127"/>
      <x:c r="C97" s="128" t="n">
        <x:v>1</x:v>
      </x:c>
      <x:c r="D97" s="128"/>
      <x:c r="E97" s="128"/>
      <x:c r="F97" s="128"/>
      <x:c r="G97" s="128"/>
      <x:c r="H97" s="128"/>
      <x:c r="I97" s="129" t="str">
        <x:f>IF(COUNTA(E97:H97)=0,"",SUM(E97:H97))</x:f>
      </x:c>
      <x:c r="J97" s="130" t="str">
        <x:f>IF(I97="","",INDEX('评分规则'!$B$4:$B$44,MATCH(I97,'评分规则'!$A$4:$A$44,1)))</x:f>
      </x:c>
      <x:c r="K97" s="128"/>
      <x:c r="L97" s="128"/>
      <x:c r="M97" s="128"/>
      <x:c r="N97" s="129" t="str">
        <x:f>IF(COUNTA(K97:M97)=0,"",SUM(K97:M97))</x:f>
      </x:c>
      <x:c r="O97" s="130" t="str">
        <x:f>IF(N97="","",INDEX('评分规则'!$E$4:$E$44,MATCH(N97,'评分规则'!$D$4:$D$44,1)))</x:f>
      </x:c>
      <x:c r="P97" s="130" t="str">
        <x:f>IF(AND(J97="",O97=""),"",AVERAGE(J97,O97))</x:f>
      </x:c>
      <x:c r="Q97" s="130" t="str">
        <x:f>IF(P97="","",P97-'总览仪表盘'!$C$5)</x:f>
      </x:c>
      <x:c r="R97" s="19"/>
    </x:row>
    <x:row r="98">
      <x:c r="A98" s="126"/>
      <x:c r="B98" s="127"/>
      <x:c r="C98" s="128" t="n">
        <x:v>2</x:v>
      </x:c>
      <x:c r="D98" s="128"/>
      <x:c r="E98" s="128"/>
      <x:c r="F98" s="128"/>
      <x:c r="G98" s="128"/>
      <x:c r="H98" s="128"/>
      <x:c r="I98" s="129" t="str">
        <x:f>IF(COUNTA(E98:H98)=0,"",SUM(E98:H98))</x:f>
      </x:c>
      <x:c r="J98" s="130" t="str">
        <x:f>IF(I98="","",INDEX('评分规则'!$B$4:$B$44,MATCH(I98,'评分规则'!$A$4:$A$44,1)))</x:f>
      </x:c>
      <x:c r="K98" s="128"/>
      <x:c r="L98" s="128"/>
      <x:c r="M98" s="128"/>
      <x:c r="N98" s="129" t="str">
        <x:f>IF(COUNTA(K98:M98)=0,"",SUM(K98:M98))</x:f>
      </x:c>
      <x:c r="O98" s="130" t="str">
        <x:f>IF(N98="","",INDEX('评分规则'!$E$4:$E$44,MATCH(N98,'评分规则'!$D$4:$D$44,1)))</x:f>
      </x:c>
      <x:c r="P98" s="130" t="str">
        <x:f>IF(AND(J98="",O98=""),"",AVERAGE(J98,O98))</x:f>
      </x:c>
      <x:c r="Q98" s="130" t="str">
        <x:f>IF(P98="","",P98-'总览仪表盘'!$C$5)</x:f>
      </x:c>
      <x:c r="R98" s="19"/>
    </x:row>
    <x:row r="99">
      <x:c r="A99" s="126"/>
      <x:c r="B99" s="127"/>
      <x:c r="C99" s="128" t="n">
        <x:v>3</x:v>
      </x:c>
      <x:c r="D99" s="128"/>
      <x:c r="E99" s="128"/>
      <x:c r="F99" s="128"/>
      <x:c r="G99" s="128"/>
      <x:c r="H99" s="128"/>
      <x:c r="I99" s="129" t="str">
        <x:f>IF(COUNTA(E99:H99)=0,"",SUM(E99:H99))</x:f>
      </x:c>
      <x:c r="J99" s="130" t="str">
        <x:f>IF(I99="","",INDEX('评分规则'!$B$4:$B$44,MATCH(I99,'评分规则'!$A$4:$A$44,1)))</x:f>
      </x:c>
      <x:c r="K99" s="128"/>
      <x:c r="L99" s="128"/>
      <x:c r="M99" s="128"/>
      <x:c r="N99" s="129" t="str">
        <x:f>IF(COUNTA(K99:M99)=0,"",SUM(K99:M99))</x:f>
      </x:c>
      <x:c r="O99" s="130" t="str">
        <x:f>IF(N99="","",INDEX('评分规则'!$E$4:$E$44,MATCH(N99,'评分规则'!$D$4:$D$44,1)))</x:f>
      </x:c>
      <x:c r="P99" s="130" t="str">
        <x:f>IF(AND(J99="",O99=""),"",AVERAGE(J99,O99))</x:f>
      </x:c>
      <x:c r="Q99" s="130" t="str">
        <x:f>IF(P99="","",P99-'总览仪表盘'!$C$5)</x:f>
      </x:c>
      <x:c r="R99" s="19"/>
    </x:row>
    <x:row r="100">
      <x:c r="A100" s="126"/>
      <x:c r="B100" s="127"/>
      <x:c r="C100" s="128" t="n">
        <x:v>4</x:v>
      </x:c>
      <x:c r="D100" s="128"/>
      <x:c r="E100" s="128"/>
      <x:c r="F100" s="128"/>
      <x:c r="G100" s="128"/>
      <x:c r="H100" s="128"/>
      <x:c r="I100" s="129" t="str">
        <x:f>IF(COUNTA(E100:H100)=0,"",SUM(E100:H100))</x:f>
      </x:c>
      <x:c r="J100" s="130" t="str">
        <x:f>IF(I100="","",INDEX('评分规则'!$B$4:$B$44,MATCH(I100,'评分规则'!$A$4:$A$44,1)))</x:f>
      </x:c>
      <x:c r="K100" s="128"/>
      <x:c r="L100" s="128"/>
      <x:c r="M100" s="128"/>
      <x:c r="N100" s="129" t="str">
        <x:f>IF(COUNTA(K100:M100)=0,"",SUM(K100:M100))</x:f>
      </x:c>
      <x:c r="O100" s="130" t="str">
        <x:f>IF(N100="","",INDEX('评分规则'!$E$4:$E$44,MATCH(N100,'评分规则'!$D$4:$D$44,1)))</x:f>
      </x:c>
      <x:c r="P100" s="130" t="str">
        <x:f>IF(AND(J100="",O100=""),"",AVERAGE(J100,O100))</x:f>
      </x:c>
      <x:c r="Q100" s="130" t="str">
        <x:f>IF(P100="","",P100-'总览仪表盘'!$C$5)</x:f>
      </x:c>
      <x:c r="R100" s="19"/>
    </x:row>
    <x:row r="101">
      <x:c r="A101" s="126"/>
      <x:c r="B101" s="127"/>
      <x:c r="C101" s="128" t="n">
        <x:v>1</x:v>
      </x:c>
      <x:c r="D101" s="128"/>
      <x:c r="E101" s="128"/>
      <x:c r="F101" s="128"/>
      <x:c r="G101" s="128"/>
      <x:c r="H101" s="128"/>
      <x:c r="I101" s="129" t="str">
        <x:f>IF(COUNTA(E101:H101)=0,"",SUM(E101:H101))</x:f>
      </x:c>
      <x:c r="J101" s="130" t="str">
        <x:f>IF(I101="","",INDEX('评分规则'!$B$4:$B$44,MATCH(I101,'评分规则'!$A$4:$A$44,1)))</x:f>
      </x:c>
      <x:c r="K101" s="128"/>
      <x:c r="L101" s="128"/>
      <x:c r="M101" s="128"/>
      <x:c r="N101" s="129" t="str">
        <x:f>IF(COUNTA(K101:M101)=0,"",SUM(K101:M101))</x:f>
      </x:c>
      <x:c r="O101" s="130" t="str">
        <x:f>IF(N101="","",INDEX('评分规则'!$E$4:$E$44,MATCH(N101,'评分规则'!$D$4:$D$44,1)))</x:f>
      </x:c>
      <x:c r="P101" s="130" t="str">
        <x:f>IF(AND(J101="",O101=""),"",AVERAGE(J101,O101))</x:f>
      </x:c>
      <x:c r="Q101" s="130" t="str">
        <x:f>IF(P101="","",P101-'总览仪表盘'!$C$5)</x:f>
      </x:c>
      <x:c r="R101" s="19"/>
    </x:row>
    <x:row r="102">
      <x:c r="A102" s="126"/>
      <x:c r="B102" s="127"/>
      <x:c r="C102" s="128" t="n">
        <x:v>2</x:v>
      </x:c>
      <x:c r="D102" s="128"/>
      <x:c r="E102" s="128"/>
      <x:c r="F102" s="128"/>
      <x:c r="G102" s="128"/>
      <x:c r="H102" s="128"/>
      <x:c r="I102" s="129" t="str">
        <x:f>IF(COUNTA(E102:H102)=0,"",SUM(E102:H102))</x:f>
      </x:c>
      <x:c r="J102" s="130" t="str">
        <x:f>IF(I102="","",INDEX('评分规则'!$B$4:$B$44,MATCH(I102,'评分规则'!$A$4:$A$44,1)))</x:f>
      </x:c>
      <x:c r="K102" s="128"/>
      <x:c r="L102" s="128"/>
      <x:c r="M102" s="128"/>
      <x:c r="N102" s="129" t="str">
        <x:f>IF(COUNTA(K102:M102)=0,"",SUM(K102:M102))</x:f>
      </x:c>
      <x:c r="O102" s="130" t="str">
        <x:f>IF(N102="","",INDEX('评分规则'!$E$4:$E$44,MATCH(N102,'评分规则'!$D$4:$D$44,1)))</x:f>
      </x:c>
      <x:c r="P102" s="130" t="str">
        <x:f>IF(AND(J102="",O102=""),"",AVERAGE(J102,O102))</x:f>
      </x:c>
      <x:c r="Q102" s="130" t="str">
        <x:f>IF(P102="","",P102-'总览仪表盘'!$C$5)</x:f>
      </x:c>
      <x:c r="R102" s="19"/>
    </x:row>
    <x:row r="103">
      <x:c r="A103" s="126"/>
      <x:c r="B103" s="127"/>
      <x:c r="C103" s="128" t="n">
        <x:v>3</x:v>
      </x:c>
      <x:c r="D103" s="128"/>
      <x:c r="E103" s="128"/>
      <x:c r="F103" s="128"/>
      <x:c r="G103" s="128"/>
      <x:c r="H103" s="128"/>
      <x:c r="I103" s="129" t="str">
        <x:f>IF(COUNTA(E103:H103)=0,"",SUM(E103:H103))</x:f>
      </x:c>
      <x:c r="J103" s="130" t="str">
        <x:f>IF(I103="","",INDEX('评分规则'!$B$4:$B$44,MATCH(I103,'评分规则'!$A$4:$A$44,1)))</x:f>
      </x:c>
      <x:c r="K103" s="128"/>
      <x:c r="L103" s="128"/>
      <x:c r="M103" s="128"/>
      <x:c r="N103" s="129" t="str">
        <x:f>IF(COUNTA(K103:M103)=0,"",SUM(K103:M103))</x:f>
      </x:c>
      <x:c r="O103" s="130" t="str">
        <x:f>IF(N103="","",INDEX('评分规则'!$E$4:$E$44,MATCH(N103,'评分规则'!$D$4:$D$44,1)))</x:f>
      </x:c>
      <x:c r="P103" s="130" t="str">
        <x:f>IF(AND(J103="",O103=""),"",AVERAGE(J103,O103))</x:f>
      </x:c>
      <x:c r="Q103" s="130" t="str">
        <x:f>IF(P103="","",P103-'总览仪表盘'!$C$5)</x:f>
      </x:c>
      <x:c r="R103" s="19"/>
    </x:row>
    <x:row r="104">
      <x:c r="A104" s="126"/>
      <x:c r="B104" s="127"/>
      <x:c r="C104" s="128" t="n">
        <x:v>4</x:v>
      </x:c>
      <x:c r="D104" s="128"/>
      <x:c r="E104" s="128"/>
      <x:c r="F104" s="128"/>
      <x:c r="G104" s="128"/>
      <x:c r="H104" s="128"/>
      <x:c r="I104" s="129" t="str">
        <x:f>IF(COUNTA(E104:H104)=0,"",SUM(E104:H104))</x:f>
      </x:c>
      <x:c r="J104" s="130" t="str">
        <x:f>IF(I104="","",INDEX('评分规则'!$B$4:$B$44,MATCH(I104,'评分规则'!$A$4:$A$44,1)))</x:f>
      </x:c>
      <x:c r="K104" s="128"/>
      <x:c r="L104" s="128"/>
      <x:c r="M104" s="128"/>
      <x:c r="N104" s="129" t="str">
        <x:f>IF(COUNTA(K104:M104)=0,"",SUM(K104:M104))</x:f>
      </x:c>
      <x:c r="O104" s="130" t="str">
        <x:f>IF(N104="","",INDEX('评分规则'!$E$4:$E$44,MATCH(N104,'评分规则'!$D$4:$D$44,1)))</x:f>
      </x:c>
      <x:c r="P104" s="130" t="str">
        <x:f>IF(AND(J104="",O104=""),"",AVERAGE(J104,O104))</x:f>
      </x:c>
      <x:c r="Q104" s="130" t="str">
        <x:f>IF(P104="","",P104-'总览仪表盘'!$C$5)</x:f>
      </x:c>
      <x:c r="R104" s="19"/>
    </x:row>
    <x:row r="105">
      <x:c r="A105" s="126"/>
      <x:c r="B105" s="127"/>
      <x:c r="C105" s="128" t="n">
        <x:v>1</x:v>
      </x:c>
      <x:c r="D105" s="128"/>
      <x:c r="E105" s="128"/>
      <x:c r="F105" s="128"/>
      <x:c r="G105" s="128"/>
      <x:c r="H105" s="128"/>
      <x:c r="I105" s="129" t="str">
        <x:f>IF(COUNTA(E105:H105)=0,"",SUM(E105:H105))</x:f>
      </x:c>
      <x:c r="J105" s="130" t="str">
        <x:f>IF(I105="","",INDEX('评分规则'!$B$4:$B$44,MATCH(I105,'评分规则'!$A$4:$A$44,1)))</x:f>
      </x:c>
      <x:c r="K105" s="128"/>
      <x:c r="L105" s="128"/>
      <x:c r="M105" s="128"/>
      <x:c r="N105" s="129" t="str">
        <x:f>IF(COUNTA(K105:M105)=0,"",SUM(K105:M105))</x:f>
      </x:c>
      <x:c r="O105" s="130" t="str">
        <x:f>IF(N105="","",INDEX('评分规则'!$E$4:$E$44,MATCH(N105,'评分规则'!$D$4:$D$44,1)))</x:f>
      </x:c>
      <x:c r="P105" s="130" t="str">
        <x:f>IF(AND(J105="",O105=""),"",AVERAGE(J105,O105))</x:f>
      </x:c>
      <x:c r="Q105" s="130" t="str">
        <x:f>IF(P105="","",P105-'总览仪表盘'!$C$5)</x:f>
      </x:c>
      <x:c r="R105" s="19"/>
    </x:row>
    <x:row r="106">
      <x:c r="A106" s="126"/>
      <x:c r="B106" s="127"/>
      <x:c r="C106" s="128" t="n">
        <x:v>2</x:v>
      </x:c>
      <x:c r="D106" s="128"/>
      <x:c r="E106" s="128"/>
      <x:c r="F106" s="128"/>
      <x:c r="G106" s="128"/>
      <x:c r="H106" s="128"/>
      <x:c r="I106" s="129" t="str">
        <x:f>IF(COUNTA(E106:H106)=0,"",SUM(E106:H106))</x:f>
      </x:c>
      <x:c r="J106" s="130" t="str">
        <x:f>IF(I106="","",INDEX('评分规则'!$B$4:$B$44,MATCH(I106,'评分规则'!$A$4:$A$44,1)))</x:f>
      </x:c>
      <x:c r="K106" s="128"/>
      <x:c r="L106" s="128"/>
      <x:c r="M106" s="128"/>
      <x:c r="N106" s="129" t="str">
        <x:f>IF(COUNTA(K106:M106)=0,"",SUM(K106:M106))</x:f>
      </x:c>
      <x:c r="O106" s="130" t="str">
        <x:f>IF(N106="","",INDEX('评分规则'!$E$4:$E$44,MATCH(N106,'评分规则'!$D$4:$D$44,1)))</x:f>
      </x:c>
      <x:c r="P106" s="130" t="str">
        <x:f>IF(AND(J106="",O106=""),"",AVERAGE(J106,O106))</x:f>
      </x:c>
      <x:c r="Q106" s="130" t="str">
        <x:f>IF(P106="","",P106-'总览仪表盘'!$C$5)</x:f>
      </x:c>
      <x:c r="R106" s="19"/>
    </x:row>
    <x:row r="107">
      <x:c r="A107" s="126"/>
      <x:c r="B107" s="127"/>
      <x:c r="C107" s="128" t="n">
        <x:v>3</x:v>
      </x:c>
      <x:c r="D107" s="128"/>
      <x:c r="E107" s="128"/>
      <x:c r="F107" s="128"/>
      <x:c r="G107" s="128"/>
      <x:c r="H107" s="128"/>
      <x:c r="I107" s="129" t="str">
        <x:f>IF(COUNTA(E107:H107)=0,"",SUM(E107:H107))</x:f>
      </x:c>
      <x:c r="J107" s="130" t="str">
        <x:f>IF(I107="","",INDEX('评分规则'!$B$4:$B$44,MATCH(I107,'评分规则'!$A$4:$A$44,1)))</x:f>
      </x:c>
      <x:c r="K107" s="128"/>
      <x:c r="L107" s="128"/>
      <x:c r="M107" s="128"/>
      <x:c r="N107" s="129" t="str">
        <x:f>IF(COUNTA(K107:M107)=0,"",SUM(K107:M107))</x:f>
      </x:c>
      <x:c r="O107" s="130" t="str">
        <x:f>IF(N107="","",INDEX('评分规则'!$E$4:$E$44,MATCH(N107,'评分规则'!$D$4:$D$44,1)))</x:f>
      </x:c>
      <x:c r="P107" s="130" t="str">
        <x:f>IF(AND(J107="",O107=""),"",AVERAGE(J107,O107))</x:f>
      </x:c>
      <x:c r="Q107" s="130" t="str">
        <x:f>IF(P107="","",P107-'总览仪表盘'!$C$5)</x:f>
      </x:c>
      <x:c r="R107" s="19"/>
    </x:row>
    <x:row r="108">
      <x:c r="A108" s="126"/>
      <x:c r="B108" s="127"/>
      <x:c r="C108" s="128" t="n">
        <x:v>4</x:v>
      </x:c>
      <x:c r="D108" s="128"/>
      <x:c r="E108" s="128"/>
      <x:c r="F108" s="128"/>
      <x:c r="G108" s="128"/>
      <x:c r="H108" s="128"/>
      <x:c r="I108" s="129" t="str">
        <x:f>IF(COUNTA(E108:H108)=0,"",SUM(E108:H108))</x:f>
      </x:c>
      <x:c r="J108" s="130" t="str">
        <x:f>IF(I108="","",INDEX('评分规则'!$B$4:$B$44,MATCH(I108,'评分规则'!$A$4:$A$44,1)))</x:f>
      </x:c>
      <x:c r="K108" s="128"/>
      <x:c r="L108" s="128"/>
      <x:c r="M108" s="128"/>
      <x:c r="N108" s="129" t="str">
        <x:f>IF(COUNTA(K108:M108)=0,"",SUM(K108:M108))</x:f>
      </x:c>
      <x:c r="O108" s="130" t="str">
        <x:f>IF(N108="","",INDEX('评分规则'!$E$4:$E$44,MATCH(N108,'评分规则'!$D$4:$D$44,1)))</x:f>
      </x:c>
      <x:c r="P108" s="130" t="str">
        <x:f>IF(AND(J108="",O108=""),"",AVERAGE(J108,O108))</x:f>
      </x:c>
      <x:c r="Q108" s="130" t="str">
        <x:f>IF(P108="","",P108-'总览仪表盘'!$C$5)</x:f>
      </x:c>
      <x:c r="R108" s="19"/>
    </x:row>
    <x:row r="109">
      <x:c r="A109" s="126"/>
      <x:c r="B109" s="127"/>
      <x:c r="C109" s="128" t="n">
        <x:v>1</x:v>
      </x:c>
      <x:c r="D109" s="128"/>
      <x:c r="E109" s="128"/>
      <x:c r="F109" s="128"/>
      <x:c r="G109" s="128"/>
      <x:c r="H109" s="128"/>
      <x:c r="I109" s="129" t="str">
        <x:f>IF(COUNTA(E109:H109)=0,"",SUM(E109:H109))</x:f>
      </x:c>
      <x:c r="J109" s="130" t="str">
        <x:f>IF(I109="","",INDEX('评分规则'!$B$4:$B$44,MATCH(I109,'评分规则'!$A$4:$A$44,1)))</x:f>
      </x:c>
      <x:c r="K109" s="128"/>
      <x:c r="L109" s="128"/>
      <x:c r="M109" s="128"/>
      <x:c r="N109" s="129" t="str">
        <x:f>IF(COUNTA(K109:M109)=0,"",SUM(K109:M109))</x:f>
      </x:c>
      <x:c r="O109" s="130" t="str">
        <x:f>IF(N109="","",INDEX('评分规则'!$E$4:$E$44,MATCH(N109,'评分规则'!$D$4:$D$44,1)))</x:f>
      </x:c>
      <x:c r="P109" s="130" t="str">
        <x:f>IF(AND(J109="",O109=""),"",AVERAGE(J109,O109))</x:f>
      </x:c>
      <x:c r="Q109" s="130" t="str">
        <x:f>IF(P109="","",P109-'总览仪表盘'!$C$5)</x:f>
      </x:c>
      <x:c r="R109" s="19"/>
    </x:row>
    <x:row r="110">
      <x:c r="A110" s="126"/>
      <x:c r="B110" s="127"/>
      <x:c r="C110" s="128" t="n">
        <x:v>2</x:v>
      </x:c>
      <x:c r="D110" s="128"/>
      <x:c r="E110" s="128"/>
      <x:c r="F110" s="128"/>
      <x:c r="G110" s="128"/>
      <x:c r="H110" s="128"/>
      <x:c r="I110" s="129" t="str">
        <x:f>IF(COUNTA(E110:H110)=0,"",SUM(E110:H110))</x:f>
      </x:c>
      <x:c r="J110" s="130" t="str">
        <x:f>IF(I110="","",INDEX('评分规则'!$B$4:$B$44,MATCH(I110,'评分规则'!$A$4:$A$44,1)))</x:f>
      </x:c>
      <x:c r="K110" s="128"/>
      <x:c r="L110" s="128"/>
      <x:c r="M110" s="128"/>
      <x:c r="N110" s="129" t="str">
        <x:f>IF(COUNTA(K110:M110)=0,"",SUM(K110:M110))</x:f>
      </x:c>
      <x:c r="O110" s="130" t="str">
        <x:f>IF(N110="","",INDEX('评分规则'!$E$4:$E$44,MATCH(N110,'评分规则'!$D$4:$D$44,1)))</x:f>
      </x:c>
      <x:c r="P110" s="130" t="str">
        <x:f>IF(AND(J110="",O110=""),"",AVERAGE(J110,O110))</x:f>
      </x:c>
      <x:c r="Q110" s="130" t="str">
        <x:f>IF(P110="","",P110-'总览仪表盘'!$C$5)</x:f>
      </x:c>
      <x:c r="R110" s="19"/>
    </x:row>
    <x:row r="111">
      <x:c r="A111" s="126"/>
      <x:c r="B111" s="127"/>
      <x:c r="C111" s="128" t="n">
        <x:v>3</x:v>
      </x:c>
      <x:c r="D111" s="128"/>
      <x:c r="E111" s="128"/>
      <x:c r="F111" s="128"/>
      <x:c r="G111" s="128"/>
      <x:c r="H111" s="128"/>
      <x:c r="I111" s="129" t="str">
        <x:f>IF(COUNTA(E111:H111)=0,"",SUM(E111:H111))</x:f>
      </x:c>
      <x:c r="J111" s="130" t="str">
        <x:f>IF(I111="","",INDEX('评分规则'!$B$4:$B$44,MATCH(I111,'评分规则'!$A$4:$A$44,1)))</x:f>
      </x:c>
      <x:c r="K111" s="128"/>
      <x:c r="L111" s="128"/>
      <x:c r="M111" s="128"/>
      <x:c r="N111" s="129" t="str">
        <x:f>IF(COUNTA(K111:M111)=0,"",SUM(K111:M111))</x:f>
      </x:c>
      <x:c r="O111" s="130" t="str">
        <x:f>IF(N111="","",INDEX('评分规则'!$E$4:$E$44,MATCH(N111,'评分规则'!$D$4:$D$44,1)))</x:f>
      </x:c>
      <x:c r="P111" s="130" t="str">
        <x:f>IF(AND(J111="",O111=""),"",AVERAGE(J111,O111))</x:f>
      </x:c>
      <x:c r="Q111" s="130" t="str">
        <x:f>IF(P111="","",P111-'总览仪表盘'!$C$5)</x:f>
      </x:c>
      <x:c r="R111" s="19"/>
    </x:row>
    <x:row r="112">
      <x:c r="A112" s="126"/>
      <x:c r="B112" s="127"/>
      <x:c r="C112" s="128" t="n">
        <x:v>4</x:v>
      </x:c>
      <x:c r="D112" s="128"/>
      <x:c r="E112" s="128"/>
      <x:c r="F112" s="128"/>
      <x:c r="G112" s="128"/>
      <x:c r="H112" s="128"/>
      <x:c r="I112" s="129" t="str">
        <x:f>IF(COUNTA(E112:H112)=0,"",SUM(E112:H112))</x:f>
      </x:c>
      <x:c r="J112" s="130" t="str">
        <x:f>IF(I112="","",INDEX('评分规则'!$B$4:$B$44,MATCH(I112,'评分规则'!$A$4:$A$44,1)))</x:f>
      </x:c>
      <x:c r="K112" s="128"/>
      <x:c r="L112" s="128"/>
      <x:c r="M112" s="128"/>
      <x:c r="N112" s="129" t="str">
        <x:f>IF(COUNTA(K112:M112)=0,"",SUM(K112:M112))</x:f>
      </x:c>
      <x:c r="O112" s="130" t="str">
        <x:f>IF(N112="","",INDEX('评分规则'!$E$4:$E$44,MATCH(N112,'评分规则'!$D$4:$D$44,1)))</x:f>
      </x:c>
      <x:c r="P112" s="130" t="str">
        <x:f>IF(AND(J112="",O112=""),"",AVERAGE(J112,O112))</x:f>
      </x:c>
      <x:c r="Q112" s="130" t="str">
        <x:f>IF(P112="","",P112-'总览仪表盘'!$C$5)</x:f>
      </x:c>
      <x:c r="R112" s="19"/>
    </x:row>
    <x:row r="113">
      <x:c r="A113" s="126"/>
      <x:c r="B113" s="127"/>
      <x:c r="C113" s="128" t="n">
        <x:v>1</x:v>
      </x:c>
      <x:c r="D113" s="128"/>
      <x:c r="E113" s="128"/>
      <x:c r="F113" s="128"/>
      <x:c r="G113" s="128"/>
      <x:c r="H113" s="128"/>
      <x:c r="I113" s="129" t="str">
        <x:f>IF(COUNTA(E113:H113)=0,"",SUM(E113:H113))</x:f>
      </x:c>
      <x:c r="J113" s="130" t="str">
        <x:f>IF(I113="","",INDEX('评分规则'!$B$4:$B$44,MATCH(I113,'评分规则'!$A$4:$A$44,1)))</x:f>
      </x:c>
      <x:c r="K113" s="128"/>
      <x:c r="L113" s="128"/>
      <x:c r="M113" s="128"/>
      <x:c r="N113" s="129" t="str">
        <x:f>IF(COUNTA(K113:M113)=0,"",SUM(K113:M113))</x:f>
      </x:c>
      <x:c r="O113" s="130" t="str">
        <x:f>IF(N113="","",INDEX('评分规则'!$E$4:$E$44,MATCH(N113,'评分规则'!$D$4:$D$44,1)))</x:f>
      </x:c>
      <x:c r="P113" s="130" t="str">
        <x:f>IF(AND(J113="",O113=""),"",AVERAGE(J113,O113))</x:f>
      </x:c>
      <x:c r="Q113" s="130" t="str">
        <x:f>IF(P113="","",P113-'总览仪表盘'!$C$5)</x:f>
      </x:c>
      <x:c r="R113" s="19"/>
    </x:row>
    <x:row r="114">
      <x:c r="A114" s="126"/>
      <x:c r="B114" s="127"/>
      <x:c r="C114" s="128" t="n">
        <x:v>2</x:v>
      </x:c>
      <x:c r="D114" s="128"/>
      <x:c r="E114" s="128"/>
      <x:c r="F114" s="128"/>
      <x:c r="G114" s="128"/>
      <x:c r="H114" s="128"/>
      <x:c r="I114" s="129" t="str">
        <x:f>IF(COUNTA(E114:H114)=0,"",SUM(E114:H114))</x:f>
      </x:c>
      <x:c r="J114" s="130" t="str">
        <x:f>IF(I114="","",INDEX('评分规则'!$B$4:$B$44,MATCH(I114,'评分规则'!$A$4:$A$44,1)))</x:f>
      </x:c>
      <x:c r="K114" s="128"/>
      <x:c r="L114" s="128"/>
      <x:c r="M114" s="128"/>
      <x:c r="N114" s="129" t="str">
        <x:f>IF(COUNTA(K114:M114)=0,"",SUM(K114:M114))</x:f>
      </x:c>
      <x:c r="O114" s="130" t="str">
        <x:f>IF(N114="","",INDEX('评分规则'!$E$4:$E$44,MATCH(N114,'评分规则'!$D$4:$D$44,1)))</x:f>
      </x:c>
      <x:c r="P114" s="130" t="str">
        <x:f>IF(AND(J114="",O114=""),"",AVERAGE(J114,O114))</x:f>
      </x:c>
      <x:c r="Q114" s="130" t="str">
        <x:f>IF(P114="","",P114-'总览仪表盘'!$C$5)</x:f>
      </x:c>
      <x:c r="R114" s="19"/>
    </x:row>
    <x:row r="115">
      <x:c r="A115" s="126"/>
      <x:c r="B115" s="127"/>
      <x:c r="C115" s="128" t="n">
        <x:v>3</x:v>
      </x:c>
      <x:c r="D115" s="128"/>
      <x:c r="E115" s="128"/>
      <x:c r="F115" s="128"/>
      <x:c r="G115" s="128"/>
      <x:c r="H115" s="128"/>
      <x:c r="I115" s="129" t="str">
        <x:f>IF(COUNTA(E115:H115)=0,"",SUM(E115:H115))</x:f>
      </x:c>
      <x:c r="J115" s="130" t="str">
        <x:f>IF(I115="","",INDEX('评分规则'!$B$4:$B$44,MATCH(I115,'评分规则'!$A$4:$A$44,1)))</x:f>
      </x:c>
      <x:c r="K115" s="128"/>
      <x:c r="L115" s="128"/>
      <x:c r="M115" s="128"/>
      <x:c r="N115" s="129" t="str">
        <x:f>IF(COUNTA(K115:M115)=0,"",SUM(K115:M115))</x:f>
      </x:c>
      <x:c r="O115" s="130" t="str">
        <x:f>IF(N115="","",INDEX('评分规则'!$E$4:$E$44,MATCH(N115,'评分规则'!$D$4:$D$44,1)))</x:f>
      </x:c>
      <x:c r="P115" s="130" t="str">
        <x:f>IF(AND(J115="",O115=""),"",AVERAGE(J115,O115))</x:f>
      </x:c>
      <x:c r="Q115" s="130" t="str">
        <x:f>IF(P115="","",P115-'总览仪表盘'!$C$5)</x:f>
      </x:c>
      <x:c r="R115" s="19"/>
    </x:row>
    <x:row r="116">
      <x:c r="A116" s="126"/>
      <x:c r="B116" s="127"/>
      <x:c r="C116" s="128" t="n">
        <x:v>4</x:v>
      </x:c>
      <x:c r="D116" s="128"/>
      <x:c r="E116" s="128"/>
      <x:c r="F116" s="128"/>
      <x:c r="G116" s="128"/>
      <x:c r="H116" s="128"/>
      <x:c r="I116" s="129" t="str">
        <x:f>IF(COUNTA(E116:H116)=0,"",SUM(E116:H116))</x:f>
      </x:c>
      <x:c r="J116" s="130" t="str">
        <x:f>IF(I116="","",INDEX('评分规则'!$B$4:$B$44,MATCH(I116,'评分规则'!$A$4:$A$44,1)))</x:f>
      </x:c>
      <x:c r="K116" s="128"/>
      <x:c r="L116" s="128"/>
      <x:c r="M116" s="128"/>
      <x:c r="N116" s="129" t="str">
        <x:f>IF(COUNTA(K116:M116)=0,"",SUM(K116:M116))</x:f>
      </x:c>
      <x:c r="O116" s="130" t="str">
        <x:f>IF(N116="","",INDEX('评分规则'!$E$4:$E$44,MATCH(N116,'评分规则'!$D$4:$D$44,1)))</x:f>
      </x:c>
      <x:c r="P116" s="130" t="str">
        <x:f>IF(AND(J116="",O116=""),"",AVERAGE(J116,O116))</x:f>
      </x:c>
      <x:c r="Q116" s="130" t="str">
        <x:f>IF(P116="","",P116-'总览仪表盘'!$C$5)</x:f>
      </x:c>
      <x:c r="R116" s="19"/>
    </x:row>
    <x:row r="117">
      <x:c r="A117" s="126"/>
      <x:c r="B117" s="127"/>
      <x:c r="C117" s="128" t="n">
        <x:v>1</x:v>
      </x:c>
      <x:c r="D117" s="128"/>
      <x:c r="E117" s="128"/>
      <x:c r="F117" s="128"/>
      <x:c r="G117" s="128"/>
      <x:c r="H117" s="128"/>
      <x:c r="I117" s="129" t="str">
        <x:f>IF(COUNTA(E117:H117)=0,"",SUM(E117:H117))</x:f>
      </x:c>
      <x:c r="J117" s="130" t="str">
        <x:f>IF(I117="","",INDEX('评分规则'!$B$4:$B$44,MATCH(I117,'评分规则'!$A$4:$A$44,1)))</x:f>
      </x:c>
      <x:c r="K117" s="128"/>
      <x:c r="L117" s="128"/>
      <x:c r="M117" s="128"/>
      <x:c r="N117" s="129" t="str">
        <x:f>IF(COUNTA(K117:M117)=0,"",SUM(K117:M117))</x:f>
      </x:c>
      <x:c r="O117" s="130" t="str">
        <x:f>IF(N117="","",INDEX('评分规则'!$E$4:$E$44,MATCH(N117,'评分规则'!$D$4:$D$44,1)))</x:f>
      </x:c>
      <x:c r="P117" s="130" t="str">
        <x:f>IF(AND(J117="",O117=""),"",AVERAGE(J117,O117))</x:f>
      </x:c>
      <x:c r="Q117" s="130" t="str">
        <x:f>IF(P117="","",P117-'总览仪表盘'!$C$5)</x:f>
      </x:c>
      <x:c r="R117" s="19"/>
    </x:row>
    <x:row r="118">
      <x:c r="A118" s="126"/>
      <x:c r="B118" s="127"/>
      <x:c r="C118" s="128" t="n">
        <x:v>2</x:v>
      </x:c>
      <x:c r="D118" s="128"/>
      <x:c r="E118" s="128"/>
      <x:c r="F118" s="128"/>
      <x:c r="G118" s="128"/>
      <x:c r="H118" s="128"/>
      <x:c r="I118" s="129" t="str">
        <x:f>IF(COUNTA(E118:H118)=0,"",SUM(E118:H118))</x:f>
      </x:c>
      <x:c r="J118" s="130" t="str">
        <x:f>IF(I118="","",INDEX('评分规则'!$B$4:$B$44,MATCH(I118,'评分规则'!$A$4:$A$44,1)))</x:f>
      </x:c>
      <x:c r="K118" s="128"/>
      <x:c r="L118" s="128"/>
      <x:c r="M118" s="128"/>
      <x:c r="N118" s="129" t="str">
        <x:f>IF(COUNTA(K118:M118)=0,"",SUM(K118:M118))</x:f>
      </x:c>
      <x:c r="O118" s="130" t="str">
        <x:f>IF(N118="","",INDEX('评分规则'!$E$4:$E$44,MATCH(N118,'评分规则'!$D$4:$D$44,1)))</x:f>
      </x:c>
      <x:c r="P118" s="130" t="str">
        <x:f>IF(AND(J118="",O118=""),"",AVERAGE(J118,O118))</x:f>
      </x:c>
      <x:c r="Q118" s="130" t="str">
        <x:f>IF(P118="","",P118-'总览仪表盘'!$C$5)</x:f>
      </x:c>
      <x:c r="R118" s="19"/>
    </x:row>
    <x:row r="119">
      <x:c r="A119" s="126"/>
      <x:c r="B119" s="127"/>
      <x:c r="C119" s="128" t="n">
        <x:v>3</x:v>
      </x:c>
      <x:c r="D119" s="128"/>
      <x:c r="E119" s="128"/>
      <x:c r="F119" s="128"/>
      <x:c r="G119" s="128"/>
      <x:c r="H119" s="128"/>
      <x:c r="I119" s="129" t="str">
        <x:f>IF(COUNTA(E119:H119)=0,"",SUM(E119:H119))</x:f>
      </x:c>
      <x:c r="J119" s="130" t="str">
        <x:f>IF(I119="","",INDEX('评分规则'!$B$4:$B$44,MATCH(I119,'评分规则'!$A$4:$A$44,1)))</x:f>
      </x:c>
      <x:c r="K119" s="128"/>
      <x:c r="L119" s="128"/>
      <x:c r="M119" s="128"/>
      <x:c r="N119" s="129" t="str">
        <x:f>IF(COUNTA(K119:M119)=0,"",SUM(K119:M119))</x:f>
      </x:c>
      <x:c r="O119" s="130" t="str">
        <x:f>IF(N119="","",INDEX('评分规则'!$E$4:$E$44,MATCH(N119,'评分规则'!$D$4:$D$44,1)))</x:f>
      </x:c>
      <x:c r="P119" s="130" t="str">
        <x:f>IF(AND(J119="",O119=""),"",AVERAGE(J119,O119))</x:f>
      </x:c>
      <x:c r="Q119" s="130" t="str">
        <x:f>IF(P119="","",P119-'总览仪表盘'!$C$5)</x:f>
      </x:c>
      <x:c r="R119" s="19"/>
    </x:row>
    <x:row r="120">
      <x:c r="A120" s="126"/>
      <x:c r="B120" s="127"/>
      <x:c r="C120" s="128" t="n">
        <x:v>4</x:v>
      </x:c>
      <x:c r="D120" s="128"/>
      <x:c r="E120" s="128"/>
      <x:c r="F120" s="128"/>
      <x:c r="G120" s="128"/>
      <x:c r="H120" s="128"/>
      <x:c r="I120" s="129" t="str">
        <x:f>IF(COUNTA(E120:H120)=0,"",SUM(E120:H120))</x:f>
      </x:c>
      <x:c r="J120" s="130" t="str">
        <x:f>IF(I120="","",INDEX('评分规则'!$B$4:$B$44,MATCH(I120,'评分规则'!$A$4:$A$44,1)))</x:f>
      </x:c>
      <x:c r="K120" s="128"/>
      <x:c r="L120" s="128"/>
      <x:c r="M120" s="128"/>
      <x:c r="N120" s="129" t="str">
        <x:f>IF(COUNTA(K120:M120)=0,"",SUM(K120:M120))</x:f>
      </x:c>
      <x:c r="O120" s="130" t="str">
        <x:f>IF(N120="","",INDEX('评分规则'!$E$4:$E$44,MATCH(N120,'评分规则'!$D$4:$D$44,1)))</x:f>
      </x:c>
      <x:c r="P120" s="130" t="str">
        <x:f>IF(AND(J120="",O120=""),"",AVERAGE(J120,O120))</x:f>
      </x:c>
      <x:c r="Q120" s="130" t="str">
        <x:f>IF(P120="","",P120-'总览仪表盘'!$C$5)</x:f>
      </x:c>
      <x:c r="R120" s="19"/>
    </x:row>
    <x:row r="121">
      <x:c r="A121" s="126"/>
      <x:c r="B121" s="127"/>
      <x:c r="C121" s="128" t="n">
        <x:v>1</x:v>
      </x:c>
      <x:c r="D121" s="128"/>
      <x:c r="E121" s="128"/>
      <x:c r="F121" s="128"/>
      <x:c r="G121" s="128"/>
      <x:c r="H121" s="128"/>
      <x:c r="I121" s="129" t="str">
        <x:f>IF(COUNTA(E121:H121)=0,"",SUM(E121:H121))</x:f>
      </x:c>
      <x:c r="J121" s="130" t="str">
        <x:f>IF(I121="","",INDEX('评分规则'!$B$4:$B$44,MATCH(I121,'评分规则'!$A$4:$A$44,1)))</x:f>
      </x:c>
      <x:c r="K121" s="128"/>
      <x:c r="L121" s="128"/>
      <x:c r="M121" s="128"/>
      <x:c r="N121" s="129" t="str">
        <x:f>IF(COUNTA(K121:M121)=0,"",SUM(K121:M121))</x:f>
      </x:c>
      <x:c r="O121" s="130" t="str">
        <x:f>IF(N121="","",INDEX('评分规则'!$E$4:$E$44,MATCH(N121,'评分规则'!$D$4:$D$44,1)))</x:f>
      </x:c>
      <x:c r="P121" s="130" t="str">
        <x:f>IF(AND(J121="",O121=""),"",AVERAGE(J121,O121))</x:f>
      </x:c>
      <x:c r="Q121" s="130" t="str">
        <x:f>IF(P121="","",P121-'总览仪表盘'!$C$5)</x:f>
      </x:c>
      <x:c r="R121" s="19"/>
    </x:row>
    <x:row r="122">
      <x:c r="A122" s="126"/>
      <x:c r="B122" s="127"/>
      <x:c r="C122" s="128" t="n">
        <x:v>2</x:v>
      </x:c>
      <x:c r="D122" s="128"/>
      <x:c r="E122" s="128"/>
      <x:c r="F122" s="128"/>
      <x:c r="G122" s="128"/>
      <x:c r="H122" s="128"/>
      <x:c r="I122" s="129" t="str">
        <x:f>IF(COUNTA(E122:H122)=0,"",SUM(E122:H122))</x:f>
      </x:c>
      <x:c r="J122" s="130" t="str">
        <x:f>IF(I122="","",INDEX('评分规则'!$B$4:$B$44,MATCH(I122,'评分规则'!$A$4:$A$44,1)))</x:f>
      </x:c>
      <x:c r="K122" s="128"/>
      <x:c r="L122" s="128"/>
      <x:c r="M122" s="128"/>
      <x:c r="N122" s="129" t="str">
        <x:f>IF(COUNTA(K122:M122)=0,"",SUM(K122:M122))</x:f>
      </x:c>
      <x:c r="O122" s="130" t="str">
        <x:f>IF(N122="","",INDEX('评分规则'!$E$4:$E$44,MATCH(N122,'评分规则'!$D$4:$D$44,1)))</x:f>
      </x:c>
      <x:c r="P122" s="130" t="str">
        <x:f>IF(AND(J122="",O122=""),"",AVERAGE(J122,O122))</x:f>
      </x:c>
      <x:c r="Q122" s="130" t="str">
        <x:f>IF(P122="","",P122-'总览仪表盘'!$C$5)</x:f>
      </x:c>
      <x:c r="R122" s="19"/>
    </x:row>
    <x:row r="123">
      <x:c r="A123" s="126"/>
      <x:c r="B123" s="127"/>
      <x:c r="C123" s="128" t="n">
        <x:v>3</x:v>
      </x:c>
      <x:c r="D123" s="128"/>
      <x:c r="E123" s="128"/>
      <x:c r="F123" s="128"/>
      <x:c r="G123" s="128"/>
      <x:c r="H123" s="128"/>
      <x:c r="I123" s="129" t="str">
        <x:f>IF(COUNTA(E123:H123)=0,"",SUM(E123:H123))</x:f>
      </x:c>
      <x:c r="J123" s="130" t="str">
        <x:f>IF(I123="","",INDEX('评分规则'!$B$4:$B$44,MATCH(I123,'评分规则'!$A$4:$A$44,1)))</x:f>
      </x:c>
      <x:c r="K123" s="128"/>
      <x:c r="L123" s="128"/>
      <x:c r="M123" s="128"/>
      <x:c r="N123" s="129" t="str">
        <x:f>IF(COUNTA(K123:M123)=0,"",SUM(K123:M123))</x:f>
      </x:c>
      <x:c r="O123" s="130" t="str">
        <x:f>IF(N123="","",INDEX('评分规则'!$E$4:$E$44,MATCH(N123,'评分规则'!$D$4:$D$44,1)))</x:f>
      </x:c>
      <x:c r="P123" s="130" t="str">
        <x:f>IF(AND(J123="",O123=""),"",AVERAGE(J123,O123))</x:f>
      </x:c>
      <x:c r="Q123" s="130" t="str">
        <x:f>IF(P123="","",P123-'总览仪表盘'!$C$5)</x:f>
      </x:c>
      <x:c r="R123" s="19"/>
    </x:row>
    <x:row r="124">
      <x:c r="A124" s="126"/>
      <x:c r="B124" s="127"/>
      <x:c r="C124" s="128" t="n">
        <x:v>4</x:v>
      </x:c>
      <x:c r="D124" s="128"/>
      <x:c r="E124" s="128"/>
      <x:c r="F124" s="128"/>
      <x:c r="G124" s="128"/>
      <x:c r="H124" s="128"/>
      <x:c r="I124" s="129" t="str">
        <x:f>IF(COUNTA(E124:H124)=0,"",SUM(E124:H124))</x:f>
      </x:c>
      <x:c r="J124" s="130" t="str">
        <x:f>IF(I124="","",INDEX('评分规则'!$B$4:$B$44,MATCH(I124,'评分规则'!$A$4:$A$44,1)))</x:f>
      </x:c>
      <x:c r="K124" s="128"/>
      <x:c r="L124" s="128"/>
      <x:c r="M124" s="128"/>
      <x:c r="N124" s="129" t="str">
        <x:f>IF(COUNTA(K124:M124)=0,"",SUM(K124:M124))</x:f>
      </x:c>
      <x:c r="O124" s="130" t="str">
        <x:f>IF(N124="","",INDEX('评分规则'!$E$4:$E$44,MATCH(N124,'评分规则'!$D$4:$D$44,1)))</x:f>
      </x:c>
      <x:c r="P124" s="130" t="str">
        <x:f>IF(AND(J124="",O124=""),"",AVERAGE(J124,O124))</x:f>
      </x:c>
      <x:c r="Q124" s="130" t="str">
        <x:f>IF(P124="","",P124-'总览仪表盘'!$C$5)</x:f>
      </x:c>
      <x:c r="R124" s="19"/>
    </x:row>
    <x:row r="125">
      <x:c r="A125" s="126"/>
      <x:c r="B125" s="127"/>
      <x:c r="C125" s="128" t="n">
        <x:v>1</x:v>
      </x:c>
      <x:c r="D125" s="128"/>
      <x:c r="E125" s="128"/>
      <x:c r="F125" s="128"/>
      <x:c r="G125" s="128"/>
      <x:c r="H125" s="128"/>
      <x:c r="I125" s="129" t="str">
        <x:f>IF(COUNTA(E125:H125)=0,"",SUM(E125:H125))</x:f>
      </x:c>
      <x:c r="J125" s="130" t="str">
        <x:f>IF(I125="","",INDEX('评分规则'!$B$4:$B$44,MATCH(I125,'评分规则'!$A$4:$A$44,1)))</x:f>
      </x:c>
      <x:c r="K125" s="128"/>
      <x:c r="L125" s="128"/>
      <x:c r="M125" s="128"/>
      <x:c r="N125" s="129" t="str">
        <x:f>IF(COUNTA(K125:M125)=0,"",SUM(K125:M125))</x:f>
      </x:c>
      <x:c r="O125" s="130" t="str">
        <x:f>IF(N125="","",INDEX('评分规则'!$E$4:$E$44,MATCH(N125,'评分规则'!$D$4:$D$44,1)))</x:f>
      </x:c>
      <x:c r="P125" s="130" t="str">
        <x:f>IF(AND(J125="",O125=""),"",AVERAGE(J125,O125))</x:f>
      </x:c>
      <x:c r="Q125" s="130" t="str">
        <x:f>IF(P125="","",P125-'总览仪表盘'!$C$5)</x:f>
      </x:c>
      <x:c r="R125" s="19"/>
    </x:row>
    <x:row r="126">
      <x:c r="A126" s="126"/>
      <x:c r="B126" s="127"/>
      <x:c r="C126" s="128" t="n">
        <x:v>2</x:v>
      </x:c>
      <x:c r="D126" s="128"/>
      <x:c r="E126" s="128"/>
      <x:c r="F126" s="128"/>
      <x:c r="G126" s="128"/>
      <x:c r="H126" s="128"/>
      <x:c r="I126" s="129" t="str">
        <x:f>IF(COUNTA(E126:H126)=0,"",SUM(E126:H126))</x:f>
      </x:c>
      <x:c r="J126" s="130" t="str">
        <x:f>IF(I126="","",INDEX('评分规则'!$B$4:$B$44,MATCH(I126,'评分规则'!$A$4:$A$44,1)))</x:f>
      </x:c>
      <x:c r="K126" s="128"/>
      <x:c r="L126" s="128"/>
      <x:c r="M126" s="128"/>
      <x:c r="N126" s="129" t="str">
        <x:f>IF(COUNTA(K126:M126)=0,"",SUM(K126:M126))</x:f>
      </x:c>
      <x:c r="O126" s="130" t="str">
        <x:f>IF(N126="","",INDEX('评分规则'!$E$4:$E$44,MATCH(N126,'评分规则'!$D$4:$D$44,1)))</x:f>
      </x:c>
      <x:c r="P126" s="130" t="str">
        <x:f>IF(AND(J126="",O126=""),"",AVERAGE(J126,O126))</x:f>
      </x:c>
      <x:c r="Q126" s="130" t="str">
        <x:f>IF(P126="","",P126-'总览仪表盘'!$C$5)</x:f>
      </x:c>
      <x:c r="R126" s="19"/>
    </x:row>
    <x:row r="127">
      <x:c r="A127" s="126"/>
      <x:c r="B127" s="127"/>
      <x:c r="C127" s="128" t="n">
        <x:v>3</x:v>
      </x:c>
      <x:c r="D127" s="128"/>
      <x:c r="E127" s="128"/>
      <x:c r="F127" s="128"/>
      <x:c r="G127" s="128"/>
      <x:c r="H127" s="128"/>
      <x:c r="I127" s="129" t="str">
        <x:f>IF(COUNTA(E127:H127)=0,"",SUM(E127:H127))</x:f>
      </x:c>
      <x:c r="J127" s="130" t="str">
        <x:f>IF(I127="","",INDEX('评分规则'!$B$4:$B$44,MATCH(I127,'评分规则'!$A$4:$A$44,1)))</x:f>
      </x:c>
      <x:c r="K127" s="128"/>
      <x:c r="L127" s="128"/>
      <x:c r="M127" s="128"/>
      <x:c r="N127" s="129" t="str">
        <x:f>IF(COUNTA(K127:M127)=0,"",SUM(K127:M127))</x:f>
      </x:c>
      <x:c r="O127" s="130" t="str">
        <x:f>IF(N127="","",INDEX('评分规则'!$E$4:$E$44,MATCH(N127,'评分规则'!$D$4:$D$44,1)))</x:f>
      </x:c>
      <x:c r="P127" s="130" t="str">
        <x:f>IF(AND(J127="",O127=""),"",AVERAGE(J127,O127))</x:f>
      </x:c>
      <x:c r="Q127" s="130" t="str">
        <x:f>IF(P127="","",P127-'总览仪表盘'!$C$5)</x:f>
      </x:c>
      <x:c r="R127" s="19"/>
    </x:row>
    <x:row r="128">
      <x:c r="A128" s="126"/>
      <x:c r="B128" s="127"/>
      <x:c r="C128" s="128" t="n">
        <x:v>4</x:v>
      </x:c>
      <x:c r="D128" s="128"/>
      <x:c r="E128" s="128"/>
      <x:c r="F128" s="128"/>
      <x:c r="G128" s="128"/>
      <x:c r="H128" s="128"/>
      <x:c r="I128" s="129" t="str">
        <x:f>IF(COUNTA(E128:H128)=0,"",SUM(E128:H128))</x:f>
      </x:c>
      <x:c r="J128" s="130" t="str">
        <x:f>IF(I128="","",INDEX('评分规则'!$B$4:$B$44,MATCH(I128,'评分规则'!$A$4:$A$44,1)))</x:f>
      </x:c>
      <x:c r="K128" s="128"/>
      <x:c r="L128" s="128"/>
      <x:c r="M128" s="128"/>
      <x:c r="N128" s="129" t="str">
        <x:f>IF(COUNTA(K128:M128)=0,"",SUM(K128:M128))</x:f>
      </x:c>
      <x:c r="O128" s="130" t="str">
        <x:f>IF(N128="","",INDEX('评分规则'!$E$4:$E$44,MATCH(N128,'评分规则'!$D$4:$D$44,1)))</x:f>
      </x:c>
      <x:c r="P128" s="130" t="str">
        <x:f>IF(AND(J128="",O128=""),"",AVERAGE(J128,O128))</x:f>
      </x:c>
      <x:c r="Q128" s="130" t="str">
        <x:f>IF(P128="","",P128-'总览仪表盘'!$C$5)</x:f>
      </x:c>
      <x:c r="R128" s="19"/>
    </x:row>
    <x:row r="129">
      <x:c r="A129" s="126"/>
      <x:c r="B129" s="127"/>
      <x:c r="C129" s="128" t="n">
        <x:v>1</x:v>
      </x:c>
      <x:c r="D129" s="128"/>
      <x:c r="E129" s="128"/>
      <x:c r="F129" s="128"/>
      <x:c r="G129" s="128"/>
      <x:c r="H129" s="128"/>
      <x:c r="I129" s="129" t="str">
        <x:f>IF(COUNTA(E129:H129)=0,"",SUM(E129:H129))</x:f>
      </x:c>
      <x:c r="J129" s="130" t="str">
        <x:f>IF(I129="","",INDEX('评分规则'!$B$4:$B$44,MATCH(I129,'评分规则'!$A$4:$A$44,1)))</x:f>
      </x:c>
      <x:c r="K129" s="128"/>
      <x:c r="L129" s="128"/>
      <x:c r="M129" s="128"/>
      <x:c r="N129" s="129" t="str">
        <x:f>IF(COUNTA(K129:M129)=0,"",SUM(K129:M129))</x:f>
      </x:c>
      <x:c r="O129" s="130" t="str">
        <x:f>IF(N129="","",INDEX('评分规则'!$E$4:$E$44,MATCH(N129,'评分规则'!$D$4:$D$44,1)))</x:f>
      </x:c>
      <x:c r="P129" s="130" t="str">
        <x:f>IF(AND(J129="",O129=""),"",AVERAGE(J129,O129))</x:f>
      </x:c>
      <x:c r="Q129" s="130" t="str">
        <x:f>IF(P129="","",P129-'总览仪表盘'!$C$5)</x:f>
      </x:c>
      <x:c r="R129" s="19"/>
    </x:row>
    <x:row r="130">
      <x:c r="A130" s="126"/>
      <x:c r="B130" s="127"/>
      <x:c r="C130" s="128" t="n">
        <x:v>2</x:v>
      </x:c>
      <x:c r="D130" s="128"/>
      <x:c r="E130" s="128"/>
      <x:c r="F130" s="128"/>
      <x:c r="G130" s="128"/>
      <x:c r="H130" s="128"/>
      <x:c r="I130" s="129" t="str">
        <x:f>IF(COUNTA(E130:H130)=0,"",SUM(E130:H130))</x:f>
      </x:c>
      <x:c r="J130" s="130" t="str">
        <x:f>IF(I130="","",INDEX('评分规则'!$B$4:$B$44,MATCH(I130,'评分规则'!$A$4:$A$44,1)))</x:f>
      </x:c>
      <x:c r="K130" s="128"/>
      <x:c r="L130" s="128"/>
      <x:c r="M130" s="128"/>
      <x:c r="N130" s="129" t="str">
        <x:f>IF(COUNTA(K130:M130)=0,"",SUM(K130:M130))</x:f>
      </x:c>
      <x:c r="O130" s="130" t="str">
        <x:f>IF(N130="","",INDEX('评分规则'!$E$4:$E$44,MATCH(N130,'评分规则'!$D$4:$D$44,1)))</x:f>
      </x:c>
      <x:c r="P130" s="130" t="str">
        <x:f>IF(AND(J130="",O130=""),"",AVERAGE(J130,O130))</x:f>
      </x:c>
      <x:c r="Q130" s="130" t="str">
        <x:f>IF(P130="","",P130-'总览仪表盘'!$C$5)</x:f>
      </x:c>
      <x:c r="R130" s="19"/>
    </x:row>
    <x:row r="131">
      <x:c r="A131" s="126"/>
      <x:c r="B131" s="127"/>
      <x:c r="C131" s="128" t="n">
        <x:v>3</x:v>
      </x:c>
      <x:c r="D131" s="128"/>
      <x:c r="E131" s="128"/>
      <x:c r="F131" s="128"/>
      <x:c r="G131" s="128"/>
      <x:c r="H131" s="128"/>
      <x:c r="I131" s="129" t="str">
        <x:f>IF(COUNTA(E131:H131)=0,"",SUM(E131:H131))</x:f>
      </x:c>
      <x:c r="J131" s="130" t="str">
        <x:f>IF(I131="","",INDEX('评分规则'!$B$4:$B$44,MATCH(I131,'评分规则'!$A$4:$A$44,1)))</x:f>
      </x:c>
      <x:c r="K131" s="128"/>
      <x:c r="L131" s="128"/>
      <x:c r="M131" s="128"/>
      <x:c r="N131" s="129" t="str">
        <x:f>IF(COUNTA(K131:M131)=0,"",SUM(K131:M131))</x:f>
      </x:c>
      <x:c r="O131" s="130" t="str">
        <x:f>IF(N131="","",INDEX('评分规则'!$E$4:$E$44,MATCH(N131,'评分规则'!$D$4:$D$44,1)))</x:f>
      </x:c>
      <x:c r="P131" s="130" t="str">
        <x:f>IF(AND(J131="",O131=""),"",AVERAGE(J131,O131))</x:f>
      </x:c>
      <x:c r="Q131" s="130" t="str">
        <x:f>IF(P131="","",P131-'总览仪表盘'!$C$5)</x:f>
      </x:c>
      <x:c r="R131" s="19"/>
    </x:row>
    <x:row r="132">
      <x:c r="A132" s="126"/>
      <x:c r="B132" s="127"/>
      <x:c r="C132" s="128" t="n">
        <x:v>4</x:v>
      </x:c>
      <x:c r="D132" s="128"/>
      <x:c r="E132" s="128"/>
      <x:c r="F132" s="128"/>
      <x:c r="G132" s="128"/>
      <x:c r="H132" s="128"/>
      <x:c r="I132" s="129" t="str">
        <x:f>IF(COUNTA(E132:H132)=0,"",SUM(E132:H132))</x:f>
      </x:c>
      <x:c r="J132" s="130" t="str">
        <x:f>IF(I132="","",INDEX('评分规则'!$B$4:$B$44,MATCH(I132,'评分规则'!$A$4:$A$44,1)))</x:f>
      </x:c>
      <x:c r="K132" s="128"/>
      <x:c r="L132" s="128"/>
      <x:c r="M132" s="128"/>
      <x:c r="N132" s="129" t="str">
        <x:f>IF(COUNTA(K132:M132)=0,"",SUM(K132:M132))</x:f>
      </x:c>
      <x:c r="O132" s="130" t="str">
        <x:f>IF(N132="","",INDEX('评分规则'!$E$4:$E$44,MATCH(N132,'评分规则'!$D$4:$D$44,1)))</x:f>
      </x:c>
      <x:c r="P132" s="130" t="str">
        <x:f>IF(AND(J132="",O132=""),"",AVERAGE(J132,O132))</x:f>
      </x:c>
      <x:c r="Q132" s="130" t="str">
        <x:f>IF(P132="","",P132-'总览仪表盘'!$C$5)</x:f>
      </x:c>
      <x:c r="R132" s="19"/>
    </x:row>
    <x:row r="133">
      <x:c r="A133" s="126"/>
      <x:c r="B133" s="127"/>
      <x:c r="C133" s="128" t="n">
        <x:v>1</x:v>
      </x:c>
      <x:c r="D133" s="128"/>
      <x:c r="E133" s="128"/>
      <x:c r="F133" s="128"/>
      <x:c r="G133" s="128"/>
      <x:c r="H133" s="128"/>
      <x:c r="I133" s="129" t="str">
        <x:f>IF(COUNTA(E133:H133)=0,"",SUM(E133:H133))</x:f>
      </x:c>
      <x:c r="J133" s="130" t="str">
        <x:f>IF(I133="","",INDEX('评分规则'!$B$4:$B$44,MATCH(I133,'评分规则'!$A$4:$A$44,1)))</x:f>
      </x:c>
      <x:c r="K133" s="128"/>
      <x:c r="L133" s="128"/>
      <x:c r="M133" s="128"/>
      <x:c r="N133" s="129" t="str">
        <x:f>IF(COUNTA(K133:M133)=0,"",SUM(K133:M133))</x:f>
      </x:c>
      <x:c r="O133" s="130" t="str">
        <x:f>IF(N133="","",INDEX('评分规则'!$E$4:$E$44,MATCH(N133,'评分规则'!$D$4:$D$44,1)))</x:f>
      </x:c>
      <x:c r="P133" s="130" t="str">
        <x:f>IF(AND(J133="",O133=""),"",AVERAGE(J133,O133))</x:f>
      </x:c>
      <x:c r="Q133" s="130" t="str">
        <x:f>IF(P133="","",P133-'总览仪表盘'!$C$5)</x:f>
      </x:c>
      <x:c r="R133" s="19"/>
    </x:row>
    <x:row r="134">
      <x:c r="A134" s="126"/>
      <x:c r="B134" s="127"/>
      <x:c r="C134" s="128" t="n">
        <x:v>2</x:v>
      </x:c>
      <x:c r="D134" s="128"/>
      <x:c r="E134" s="128"/>
      <x:c r="F134" s="128"/>
      <x:c r="G134" s="128"/>
      <x:c r="H134" s="128"/>
      <x:c r="I134" s="129" t="str">
        <x:f>IF(COUNTA(E134:H134)=0,"",SUM(E134:H134))</x:f>
      </x:c>
      <x:c r="J134" s="130" t="str">
        <x:f>IF(I134="","",INDEX('评分规则'!$B$4:$B$44,MATCH(I134,'评分规则'!$A$4:$A$44,1)))</x:f>
      </x:c>
      <x:c r="K134" s="128"/>
      <x:c r="L134" s="128"/>
      <x:c r="M134" s="128"/>
      <x:c r="N134" s="129" t="str">
        <x:f>IF(COUNTA(K134:M134)=0,"",SUM(K134:M134))</x:f>
      </x:c>
      <x:c r="O134" s="130" t="str">
        <x:f>IF(N134="","",INDEX('评分规则'!$E$4:$E$44,MATCH(N134,'评分规则'!$D$4:$D$44,1)))</x:f>
      </x:c>
      <x:c r="P134" s="130" t="str">
        <x:f>IF(AND(J134="",O134=""),"",AVERAGE(J134,O134))</x:f>
      </x:c>
      <x:c r="Q134" s="130" t="str">
        <x:f>IF(P134="","",P134-'总览仪表盘'!$C$5)</x:f>
      </x:c>
      <x:c r="R134" s="19"/>
    </x:row>
    <x:row r="135">
      <x:c r="A135" s="126"/>
      <x:c r="B135" s="127"/>
      <x:c r="C135" s="128" t="n">
        <x:v>3</x:v>
      </x:c>
      <x:c r="D135" s="128"/>
      <x:c r="E135" s="128"/>
      <x:c r="F135" s="128"/>
      <x:c r="G135" s="128"/>
      <x:c r="H135" s="128"/>
      <x:c r="I135" s="129" t="str">
        <x:f>IF(COUNTA(E135:H135)=0,"",SUM(E135:H135))</x:f>
      </x:c>
      <x:c r="J135" s="130" t="str">
        <x:f>IF(I135="","",INDEX('评分规则'!$B$4:$B$44,MATCH(I135,'评分规则'!$A$4:$A$44,1)))</x:f>
      </x:c>
      <x:c r="K135" s="128"/>
      <x:c r="L135" s="128"/>
      <x:c r="M135" s="128"/>
      <x:c r="N135" s="129" t="str">
        <x:f>IF(COUNTA(K135:M135)=0,"",SUM(K135:M135))</x:f>
      </x:c>
      <x:c r="O135" s="130" t="str">
        <x:f>IF(N135="","",INDEX('评分规则'!$E$4:$E$44,MATCH(N135,'评分规则'!$D$4:$D$44,1)))</x:f>
      </x:c>
      <x:c r="P135" s="130" t="str">
        <x:f>IF(AND(J135="",O135=""),"",AVERAGE(J135,O135))</x:f>
      </x:c>
      <x:c r="Q135" s="130" t="str">
        <x:f>IF(P135="","",P135-'总览仪表盘'!$C$5)</x:f>
      </x:c>
      <x:c r="R135" s="19"/>
    </x:row>
    <x:row r="136">
      <x:c r="A136" s="126"/>
      <x:c r="B136" s="127"/>
      <x:c r="C136" s="128" t="n">
        <x:v>4</x:v>
      </x:c>
      <x:c r="D136" s="128"/>
      <x:c r="E136" s="128"/>
      <x:c r="F136" s="128"/>
      <x:c r="G136" s="128"/>
      <x:c r="H136" s="128"/>
      <x:c r="I136" s="129" t="str">
        <x:f>IF(COUNTA(E136:H136)=0,"",SUM(E136:H136))</x:f>
      </x:c>
      <x:c r="J136" s="130" t="str">
        <x:f>IF(I136="","",INDEX('评分规则'!$B$4:$B$44,MATCH(I136,'评分规则'!$A$4:$A$44,1)))</x:f>
      </x:c>
      <x:c r="K136" s="128"/>
      <x:c r="L136" s="128"/>
      <x:c r="M136" s="128"/>
      <x:c r="N136" s="129" t="str">
        <x:f>IF(COUNTA(K136:M136)=0,"",SUM(K136:M136))</x:f>
      </x:c>
      <x:c r="O136" s="130" t="str">
        <x:f>IF(N136="","",INDEX('评分规则'!$E$4:$E$44,MATCH(N136,'评分规则'!$D$4:$D$44,1)))</x:f>
      </x:c>
      <x:c r="P136" s="130" t="str">
        <x:f>IF(AND(J136="",O136=""),"",AVERAGE(J136,O136))</x:f>
      </x:c>
      <x:c r="Q136" s="130" t="str">
        <x:f>IF(P136="","",P136-'总览仪表盘'!$C$5)</x:f>
      </x:c>
      <x:c r="R136" s="19"/>
    </x:row>
    <x:row r="137">
      <x:c r="A137" s="126"/>
      <x:c r="B137" s="127"/>
      <x:c r="C137" s="128" t="n">
        <x:v>1</x:v>
      </x:c>
      <x:c r="D137" s="128"/>
      <x:c r="E137" s="128"/>
      <x:c r="F137" s="128"/>
      <x:c r="G137" s="128"/>
      <x:c r="H137" s="128"/>
      <x:c r="I137" s="129" t="str">
        <x:f>IF(COUNTA(E137:H137)=0,"",SUM(E137:H137))</x:f>
      </x:c>
      <x:c r="J137" s="130" t="str">
        <x:f>IF(I137="","",INDEX('评分规则'!$B$4:$B$44,MATCH(I137,'评分规则'!$A$4:$A$44,1)))</x:f>
      </x:c>
      <x:c r="K137" s="128"/>
      <x:c r="L137" s="128"/>
      <x:c r="M137" s="128"/>
      <x:c r="N137" s="129" t="str">
        <x:f>IF(COUNTA(K137:M137)=0,"",SUM(K137:M137))</x:f>
      </x:c>
      <x:c r="O137" s="130" t="str">
        <x:f>IF(N137="","",INDEX('评分规则'!$E$4:$E$44,MATCH(N137,'评分规则'!$D$4:$D$44,1)))</x:f>
      </x:c>
      <x:c r="P137" s="130" t="str">
        <x:f>IF(AND(J137="",O137=""),"",AVERAGE(J137,O137))</x:f>
      </x:c>
      <x:c r="Q137" s="130" t="str">
        <x:f>IF(P137="","",P137-'总览仪表盘'!$C$5)</x:f>
      </x:c>
      <x:c r="R137" s="19"/>
    </x:row>
    <x:row r="138">
      <x:c r="A138" s="126"/>
      <x:c r="B138" s="127"/>
      <x:c r="C138" s="128" t="n">
        <x:v>2</x:v>
      </x:c>
      <x:c r="D138" s="128"/>
      <x:c r="E138" s="128"/>
      <x:c r="F138" s="128"/>
      <x:c r="G138" s="128"/>
      <x:c r="H138" s="128"/>
      <x:c r="I138" s="129" t="str">
        <x:f>IF(COUNTA(E138:H138)=0,"",SUM(E138:H138))</x:f>
      </x:c>
      <x:c r="J138" s="130" t="str">
        <x:f>IF(I138="","",INDEX('评分规则'!$B$4:$B$44,MATCH(I138,'评分规则'!$A$4:$A$44,1)))</x:f>
      </x:c>
      <x:c r="K138" s="128"/>
      <x:c r="L138" s="128"/>
      <x:c r="M138" s="128"/>
      <x:c r="N138" s="129" t="str">
        <x:f>IF(COUNTA(K138:M138)=0,"",SUM(K138:M138))</x:f>
      </x:c>
      <x:c r="O138" s="130" t="str">
        <x:f>IF(N138="","",INDEX('评分规则'!$E$4:$E$44,MATCH(N138,'评分规则'!$D$4:$D$44,1)))</x:f>
      </x:c>
      <x:c r="P138" s="130" t="str">
        <x:f>IF(AND(J138="",O138=""),"",AVERAGE(J138,O138))</x:f>
      </x:c>
      <x:c r="Q138" s="130" t="str">
        <x:f>IF(P138="","",P138-'总览仪表盘'!$C$5)</x:f>
      </x:c>
      <x:c r="R138" s="19"/>
    </x:row>
    <x:row r="139">
      <x:c r="A139" s="126"/>
      <x:c r="B139" s="127"/>
      <x:c r="C139" s="128" t="n">
        <x:v>3</x:v>
      </x:c>
      <x:c r="D139" s="128"/>
      <x:c r="E139" s="128"/>
      <x:c r="F139" s="128"/>
      <x:c r="G139" s="128"/>
      <x:c r="H139" s="128"/>
      <x:c r="I139" s="129" t="str">
        <x:f>IF(COUNTA(E139:H139)=0,"",SUM(E139:H139))</x:f>
      </x:c>
      <x:c r="J139" s="130" t="str">
        <x:f>IF(I139="","",INDEX('评分规则'!$B$4:$B$44,MATCH(I139,'评分规则'!$A$4:$A$44,1)))</x:f>
      </x:c>
      <x:c r="K139" s="128"/>
      <x:c r="L139" s="128"/>
      <x:c r="M139" s="128"/>
      <x:c r="N139" s="129" t="str">
        <x:f>IF(COUNTA(K139:M139)=0,"",SUM(K139:M139))</x:f>
      </x:c>
      <x:c r="O139" s="130" t="str">
        <x:f>IF(N139="","",INDEX('评分规则'!$E$4:$E$44,MATCH(N139,'评分规则'!$D$4:$D$44,1)))</x:f>
      </x:c>
      <x:c r="P139" s="130" t="str">
        <x:f>IF(AND(J139="",O139=""),"",AVERAGE(J139,O139))</x:f>
      </x:c>
      <x:c r="Q139" s="130" t="str">
        <x:f>IF(P139="","",P139-'总览仪表盘'!$C$5)</x:f>
      </x:c>
      <x:c r="R139" s="19"/>
    </x:row>
    <x:row r="140">
      <x:c r="A140" s="126"/>
      <x:c r="B140" s="127"/>
      <x:c r="C140" s="128" t="n">
        <x:v>4</x:v>
      </x:c>
      <x:c r="D140" s="128"/>
      <x:c r="E140" s="128"/>
      <x:c r="F140" s="128"/>
      <x:c r="G140" s="128"/>
      <x:c r="H140" s="128"/>
      <x:c r="I140" s="129" t="str">
        <x:f>IF(COUNTA(E140:H140)=0,"",SUM(E140:H140))</x:f>
      </x:c>
      <x:c r="J140" s="130" t="str">
        <x:f>IF(I140="","",INDEX('评分规则'!$B$4:$B$44,MATCH(I140,'评分规则'!$A$4:$A$44,1)))</x:f>
      </x:c>
      <x:c r="K140" s="128"/>
      <x:c r="L140" s="128"/>
      <x:c r="M140" s="128"/>
      <x:c r="N140" s="129" t="str">
        <x:f>IF(COUNTA(K140:M140)=0,"",SUM(K140:M140))</x:f>
      </x:c>
      <x:c r="O140" s="130" t="str">
        <x:f>IF(N140="","",INDEX('评分规则'!$E$4:$E$44,MATCH(N140,'评分规则'!$D$4:$D$44,1)))</x:f>
      </x:c>
      <x:c r="P140" s="130" t="str">
        <x:f>IF(AND(J140="",O140=""),"",AVERAGE(J140,O140))</x:f>
      </x:c>
      <x:c r="Q140" s="130" t="str">
        <x:f>IF(P140="","",P140-'总览仪表盘'!$C$5)</x:f>
      </x:c>
      <x:c r="R140" s="19"/>
    </x:row>
    <x:row r="141">
      <x:c r="A141" s="126"/>
      <x:c r="B141" s="127"/>
      <x:c r="C141" s="128" t="n">
        <x:v>1</x:v>
      </x:c>
      <x:c r="D141" s="128"/>
      <x:c r="E141" s="128"/>
      <x:c r="F141" s="128"/>
      <x:c r="G141" s="128"/>
      <x:c r="H141" s="128"/>
      <x:c r="I141" s="129" t="str">
        <x:f>IF(COUNTA(E141:H141)=0,"",SUM(E141:H141))</x:f>
      </x:c>
      <x:c r="J141" s="130" t="str">
        <x:f>IF(I141="","",INDEX('评分规则'!$B$4:$B$44,MATCH(I141,'评分规则'!$A$4:$A$44,1)))</x:f>
      </x:c>
      <x:c r="K141" s="128"/>
      <x:c r="L141" s="128"/>
      <x:c r="M141" s="128"/>
      <x:c r="N141" s="129" t="str">
        <x:f>IF(COUNTA(K141:M141)=0,"",SUM(K141:M141))</x:f>
      </x:c>
      <x:c r="O141" s="130" t="str">
        <x:f>IF(N141="","",INDEX('评分规则'!$E$4:$E$44,MATCH(N141,'评分规则'!$D$4:$D$44,1)))</x:f>
      </x:c>
      <x:c r="P141" s="130" t="str">
        <x:f>IF(AND(J141="",O141=""),"",AVERAGE(J141,O141))</x:f>
      </x:c>
      <x:c r="Q141" s="130" t="str">
        <x:f>IF(P141="","",P141-'总览仪表盘'!$C$5)</x:f>
      </x:c>
      <x:c r="R141" s="19"/>
    </x:row>
    <x:row r="142">
      <x:c r="A142" s="126"/>
      <x:c r="B142" s="127"/>
      <x:c r="C142" s="128" t="n">
        <x:v>2</x:v>
      </x:c>
      <x:c r="D142" s="128"/>
      <x:c r="E142" s="128"/>
      <x:c r="F142" s="128"/>
      <x:c r="G142" s="128"/>
      <x:c r="H142" s="128"/>
      <x:c r="I142" s="129" t="str">
        <x:f>IF(COUNTA(E142:H142)=0,"",SUM(E142:H142))</x:f>
      </x:c>
      <x:c r="J142" s="130" t="str">
        <x:f>IF(I142="","",INDEX('评分规则'!$B$4:$B$44,MATCH(I142,'评分规则'!$A$4:$A$44,1)))</x:f>
      </x:c>
      <x:c r="K142" s="128"/>
      <x:c r="L142" s="128"/>
      <x:c r="M142" s="128"/>
      <x:c r="N142" s="129" t="str">
        <x:f>IF(COUNTA(K142:M142)=0,"",SUM(K142:M142))</x:f>
      </x:c>
      <x:c r="O142" s="130" t="str">
        <x:f>IF(N142="","",INDEX('评分规则'!$E$4:$E$44,MATCH(N142,'评分规则'!$D$4:$D$44,1)))</x:f>
      </x:c>
      <x:c r="P142" s="130" t="str">
        <x:f>IF(AND(J142="",O142=""),"",AVERAGE(J142,O142))</x:f>
      </x:c>
      <x:c r="Q142" s="130" t="str">
        <x:f>IF(P142="","",P142-'总览仪表盘'!$C$5)</x:f>
      </x:c>
      <x:c r="R142" s="19"/>
    </x:row>
    <x:row r="143">
      <x:c r="A143" s="126"/>
      <x:c r="B143" s="127"/>
      <x:c r="C143" s="128" t="n">
        <x:v>3</x:v>
      </x:c>
      <x:c r="D143" s="128"/>
      <x:c r="E143" s="128"/>
      <x:c r="F143" s="128"/>
      <x:c r="G143" s="128"/>
      <x:c r="H143" s="128"/>
      <x:c r="I143" s="129" t="str">
        <x:f>IF(COUNTA(E143:H143)=0,"",SUM(E143:H143))</x:f>
      </x:c>
      <x:c r="J143" s="130" t="str">
        <x:f>IF(I143="","",INDEX('评分规则'!$B$4:$B$44,MATCH(I143,'评分规则'!$A$4:$A$44,1)))</x:f>
      </x:c>
      <x:c r="K143" s="128"/>
      <x:c r="L143" s="128"/>
      <x:c r="M143" s="128"/>
      <x:c r="N143" s="129" t="str">
        <x:f>IF(COUNTA(K143:M143)=0,"",SUM(K143:M143))</x:f>
      </x:c>
      <x:c r="O143" s="130" t="str">
        <x:f>IF(N143="","",INDEX('评分规则'!$E$4:$E$44,MATCH(N143,'评分规则'!$D$4:$D$44,1)))</x:f>
      </x:c>
      <x:c r="P143" s="130" t="str">
        <x:f>IF(AND(J143="",O143=""),"",AVERAGE(J143,O143))</x:f>
      </x:c>
      <x:c r="Q143" s="130" t="str">
        <x:f>IF(P143="","",P143-'总览仪表盘'!$C$5)</x:f>
      </x:c>
      <x:c r="R143" s="19"/>
    </x:row>
    <x:row r="144">
      <x:c r="A144" s="126"/>
      <x:c r="B144" s="127"/>
      <x:c r="C144" s="128" t="n">
        <x:v>4</x:v>
      </x:c>
      <x:c r="D144" s="128"/>
      <x:c r="E144" s="128"/>
      <x:c r="F144" s="128"/>
      <x:c r="G144" s="128"/>
      <x:c r="H144" s="128"/>
      <x:c r="I144" s="129" t="str">
        <x:f>IF(COUNTA(E144:H144)=0,"",SUM(E144:H144))</x:f>
      </x:c>
      <x:c r="J144" s="130" t="str">
        <x:f>IF(I144="","",INDEX('评分规则'!$B$4:$B$44,MATCH(I144,'评分规则'!$A$4:$A$44,1)))</x:f>
      </x:c>
      <x:c r="K144" s="128"/>
      <x:c r="L144" s="128"/>
      <x:c r="M144" s="128"/>
      <x:c r="N144" s="129" t="str">
        <x:f>IF(COUNTA(K144:M144)=0,"",SUM(K144:M144))</x:f>
      </x:c>
      <x:c r="O144" s="130" t="str">
        <x:f>IF(N144="","",INDEX('评分规则'!$E$4:$E$44,MATCH(N144,'评分规则'!$D$4:$D$44,1)))</x:f>
      </x:c>
      <x:c r="P144" s="130" t="str">
        <x:f>IF(AND(J144="",O144=""),"",AVERAGE(J144,O144))</x:f>
      </x:c>
      <x:c r="Q144" s="130" t="str">
        <x:f>IF(P144="","",P144-'总览仪表盘'!$C$5)</x:f>
      </x:c>
      <x:c r="R144" s="19"/>
    </x:row>
    <x:row r="145">
      <x:c r="A145" s="126"/>
      <x:c r="B145" s="127"/>
      <x:c r="C145" s="128" t="n">
        <x:v>1</x:v>
      </x:c>
      <x:c r="D145" s="128"/>
      <x:c r="E145" s="128"/>
      <x:c r="F145" s="128"/>
      <x:c r="G145" s="128"/>
      <x:c r="H145" s="128"/>
      <x:c r="I145" s="129" t="str">
        <x:f>IF(COUNTA(E145:H145)=0,"",SUM(E145:H145))</x:f>
      </x:c>
      <x:c r="J145" s="130" t="str">
        <x:f>IF(I145="","",INDEX('评分规则'!$B$4:$B$44,MATCH(I145,'评分规则'!$A$4:$A$44,1)))</x:f>
      </x:c>
      <x:c r="K145" s="128"/>
      <x:c r="L145" s="128"/>
      <x:c r="M145" s="128"/>
      <x:c r="N145" s="129" t="str">
        <x:f>IF(COUNTA(K145:M145)=0,"",SUM(K145:M145))</x:f>
      </x:c>
      <x:c r="O145" s="130" t="str">
        <x:f>IF(N145="","",INDEX('评分规则'!$E$4:$E$44,MATCH(N145,'评分规则'!$D$4:$D$44,1)))</x:f>
      </x:c>
      <x:c r="P145" s="130" t="str">
        <x:f>IF(AND(J145="",O145=""),"",AVERAGE(J145,O145))</x:f>
      </x:c>
      <x:c r="Q145" s="130" t="str">
        <x:f>IF(P145="","",P145-'总览仪表盘'!$C$5)</x:f>
      </x:c>
      <x:c r="R145" s="19"/>
    </x:row>
    <x:row r="146">
      <x:c r="A146" s="126"/>
      <x:c r="B146" s="127"/>
      <x:c r="C146" s="128" t="n">
        <x:v>2</x:v>
      </x:c>
      <x:c r="D146" s="128"/>
      <x:c r="E146" s="128"/>
      <x:c r="F146" s="128"/>
      <x:c r="G146" s="128"/>
      <x:c r="H146" s="128"/>
      <x:c r="I146" s="129" t="str">
        <x:f>IF(COUNTA(E146:H146)=0,"",SUM(E146:H146))</x:f>
      </x:c>
      <x:c r="J146" s="130" t="str">
        <x:f>IF(I146="","",INDEX('评分规则'!$B$4:$B$44,MATCH(I146,'评分规则'!$A$4:$A$44,1)))</x:f>
      </x:c>
      <x:c r="K146" s="128"/>
      <x:c r="L146" s="128"/>
      <x:c r="M146" s="128"/>
      <x:c r="N146" s="129" t="str">
        <x:f>IF(COUNTA(K146:M146)=0,"",SUM(K146:M146))</x:f>
      </x:c>
      <x:c r="O146" s="130" t="str">
        <x:f>IF(N146="","",INDEX('评分规则'!$E$4:$E$44,MATCH(N146,'评分规则'!$D$4:$D$44,1)))</x:f>
      </x:c>
      <x:c r="P146" s="130" t="str">
        <x:f>IF(AND(J146="",O146=""),"",AVERAGE(J146,O146))</x:f>
      </x:c>
      <x:c r="Q146" s="130" t="str">
        <x:f>IF(P146="","",P146-'总览仪表盘'!$C$5)</x:f>
      </x:c>
      <x:c r="R146" s="19"/>
    </x:row>
    <x:row r="147">
      <x:c r="A147" s="126"/>
      <x:c r="B147" s="127"/>
      <x:c r="C147" s="128" t="n">
        <x:v>3</x:v>
      </x:c>
      <x:c r="D147" s="128"/>
      <x:c r="E147" s="128"/>
      <x:c r="F147" s="128"/>
      <x:c r="G147" s="128"/>
      <x:c r="H147" s="128"/>
      <x:c r="I147" s="129" t="str">
        <x:f>IF(COUNTA(E147:H147)=0,"",SUM(E147:H147))</x:f>
      </x:c>
      <x:c r="J147" s="130" t="str">
        <x:f>IF(I147="","",INDEX('评分规则'!$B$4:$B$44,MATCH(I147,'评分规则'!$A$4:$A$44,1)))</x:f>
      </x:c>
      <x:c r="K147" s="128"/>
      <x:c r="L147" s="128"/>
      <x:c r="M147" s="128"/>
      <x:c r="N147" s="129" t="str">
        <x:f>IF(COUNTA(K147:M147)=0,"",SUM(K147:M147))</x:f>
      </x:c>
      <x:c r="O147" s="130" t="str">
        <x:f>IF(N147="","",INDEX('评分规则'!$E$4:$E$44,MATCH(N147,'评分规则'!$D$4:$D$44,1)))</x:f>
      </x:c>
      <x:c r="P147" s="130" t="str">
        <x:f>IF(AND(J147="",O147=""),"",AVERAGE(J147,O147))</x:f>
      </x:c>
      <x:c r="Q147" s="130" t="str">
        <x:f>IF(P147="","",P147-'总览仪表盘'!$C$5)</x:f>
      </x:c>
      <x:c r="R147" s="19"/>
    </x:row>
    <x:row r="148">
      <x:c r="A148" s="126"/>
      <x:c r="B148" s="127"/>
      <x:c r="C148" s="128" t="n">
        <x:v>4</x:v>
      </x:c>
      <x:c r="D148" s="128"/>
      <x:c r="E148" s="128"/>
      <x:c r="F148" s="128"/>
      <x:c r="G148" s="128"/>
      <x:c r="H148" s="128"/>
      <x:c r="I148" s="129" t="str">
        <x:f>IF(COUNTA(E148:H148)=0,"",SUM(E148:H148))</x:f>
      </x:c>
      <x:c r="J148" s="130" t="str">
        <x:f>IF(I148="","",INDEX('评分规则'!$B$4:$B$44,MATCH(I148,'评分规则'!$A$4:$A$44,1)))</x:f>
      </x:c>
      <x:c r="K148" s="128"/>
      <x:c r="L148" s="128"/>
      <x:c r="M148" s="128"/>
      <x:c r="N148" s="129" t="str">
        <x:f>IF(COUNTA(K148:M148)=0,"",SUM(K148:M148))</x:f>
      </x:c>
      <x:c r="O148" s="130" t="str">
        <x:f>IF(N148="","",INDEX('评分规则'!$E$4:$E$44,MATCH(N148,'评分规则'!$D$4:$D$44,1)))</x:f>
      </x:c>
      <x:c r="P148" s="130" t="str">
        <x:f>IF(AND(J148="",O148=""),"",AVERAGE(J148,O148))</x:f>
      </x:c>
      <x:c r="Q148" s="130" t="str">
        <x:f>IF(P148="","",P148-'总览仪表盘'!$C$5)</x:f>
      </x:c>
      <x:c r="R148" s="19"/>
    </x:row>
    <x:row r="149">
      <x:c r="A149" s="126"/>
      <x:c r="B149" s="127"/>
      <x:c r="C149" s="128" t="n">
        <x:v>1</x:v>
      </x:c>
      <x:c r="D149" s="128"/>
      <x:c r="E149" s="128"/>
      <x:c r="F149" s="128"/>
      <x:c r="G149" s="128"/>
      <x:c r="H149" s="128"/>
      <x:c r="I149" s="129" t="str">
        <x:f>IF(COUNTA(E149:H149)=0,"",SUM(E149:H149))</x:f>
      </x:c>
      <x:c r="J149" s="130" t="str">
        <x:f>IF(I149="","",INDEX('评分规则'!$B$4:$B$44,MATCH(I149,'评分规则'!$A$4:$A$44,1)))</x:f>
      </x:c>
      <x:c r="K149" s="128"/>
      <x:c r="L149" s="128"/>
      <x:c r="M149" s="128"/>
      <x:c r="N149" s="129" t="str">
        <x:f>IF(COUNTA(K149:M149)=0,"",SUM(K149:M149))</x:f>
      </x:c>
      <x:c r="O149" s="130" t="str">
        <x:f>IF(N149="","",INDEX('评分规则'!$E$4:$E$44,MATCH(N149,'评分规则'!$D$4:$D$44,1)))</x:f>
      </x:c>
      <x:c r="P149" s="130" t="str">
        <x:f>IF(AND(J149="",O149=""),"",AVERAGE(J149,O149))</x:f>
      </x:c>
      <x:c r="Q149" s="130" t="str">
        <x:f>IF(P149="","",P149-'总览仪表盘'!$C$5)</x:f>
      </x:c>
      <x:c r="R149" s="19"/>
    </x:row>
    <x:row r="150">
      <x:c r="A150" s="126"/>
      <x:c r="B150" s="127"/>
      <x:c r="C150" s="128" t="n">
        <x:v>2</x:v>
      </x:c>
      <x:c r="D150" s="128"/>
      <x:c r="E150" s="128"/>
      <x:c r="F150" s="128"/>
      <x:c r="G150" s="128"/>
      <x:c r="H150" s="128"/>
      <x:c r="I150" s="129" t="str">
        <x:f>IF(COUNTA(E150:H150)=0,"",SUM(E150:H150))</x:f>
      </x:c>
      <x:c r="J150" s="130" t="str">
        <x:f>IF(I150="","",INDEX('评分规则'!$B$4:$B$44,MATCH(I150,'评分规则'!$A$4:$A$44,1)))</x:f>
      </x:c>
      <x:c r="K150" s="128"/>
      <x:c r="L150" s="128"/>
      <x:c r="M150" s="128"/>
      <x:c r="N150" s="129" t="str">
        <x:f>IF(COUNTA(K150:M150)=0,"",SUM(K150:M150))</x:f>
      </x:c>
      <x:c r="O150" s="130" t="str">
        <x:f>IF(N150="","",INDEX('评分规则'!$E$4:$E$44,MATCH(N150,'评分规则'!$D$4:$D$44,1)))</x:f>
      </x:c>
      <x:c r="P150" s="130" t="str">
        <x:f>IF(AND(J150="",O150=""),"",AVERAGE(J150,O150))</x:f>
      </x:c>
      <x:c r="Q150" s="130" t="str">
        <x:f>IF(P150="","",P150-'总览仪表盘'!$C$5)</x:f>
      </x:c>
      <x:c r="R150" s="19"/>
    </x:row>
    <x:row r="151">
      <x:c r="A151" s="126"/>
      <x:c r="B151" s="127"/>
      <x:c r="C151" s="128" t="n">
        <x:v>3</x:v>
      </x:c>
      <x:c r="D151" s="128"/>
      <x:c r="E151" s="128"/>
      <x:c r="F151" s="128"/>
      <x:c r="G151" s="128"/>
      <x:c r="H151" s="128"/>
      <x:c r="I151" s="129" t="str">
        <x:f>IF(COUNTA(E151:H151)=0,"",SUM(E151:H151))</x:f>
      </x:c>
      <x:c r="J151" s="130" t="str">
        <x:f>IF(I151="","",INDEX('评分规则'!$B$4:$B$44,MATCH(I151,'评分规则'!$A$4:$A$44,1)))</x:f>
      </x:c>
      <x:c r="K151" s="128"/>
      <x:c r="L151" s="128"/>
      <x:c r="M151" s="128"/>
      <x:c r="N151" s="129" t="str">
        <x:f>IF(COUNTA(K151:M151)=0,"",SUM(K151:M151))</x:f>
      </x:c>
      <x:c r="O151" s="130" t="str">
        <x:f>IF(N151="","",INDEX('评分规则'!$E$4:$E$44,MATCH(N151,'评分规则'!$D$4:$D$44,1)))</x:f>
      </x:c>
      <x:c r="P151" s="130" t="str">
        <x:f>IF(AND(J151="",O151=""),"",AVERAGE(J151,O151))</x:f>
      </x:c>
      <x:c r="Q151" s="130" t="str">
        <x:f>IF(P151="","",P151-'总览仪表盘'!$C$5)</x:f>
      </x:c>
      <x:c r="R151" s="19"/>
    </x:row>
    <x:row r="152">
      <x:c r="A152" s="126"/>
      <x:c r="B152" s="127"/>
      <x:c r="C152" s="128" t="n">
        <x:v>4</x:v>
      </x:c>
      <x:c r="D152" s="128"/>
      <x:c r="E152" s="128"/>
      <x:c r="F152" s="128"/>
      <x:c r="G152" s="128"/>
      <x:c r="H152" s="128"/>
      <x:c r="I152" s="129" t="str">
        <x:f>IF(COUNTA(E152:H152)=0,"",SUM(E152:H152))</x:f>
      </x:c>
      <x:c r="J152" s="130" t="str">
        <x:f>IF(I152="","",INDEX('评分规则'!$B$4:$B$44,MATCH(I152,'评分规则'!$A$4:$A$44,1)))</x:f>
      </x:c>
      <x:c r="K152" s="128"/>
      <x:c r="L152" s="128"/>
      <x:c r="M152" s="128"/>
      <x:c r="N152" s="129" t="str">
        <x:f>IF(COUNTA(K152:M152)=0,"",SUM(K152:M152))</x:f>
      </x:c>
      <x:c r="O152" s="130" t="str">
        <x:f>IF(N152="","",INDEX('评分规则'!$E$4:$E$44,MATCH(N152,'评分规则'!$D$4:$D$44,1)))</x:f>
      </x:c>
      <x:c r="P152" s="130" t="str">
        <x:f>IF(AND(J152="",O152=""),"",AVERAGE(J152,O152))</x:f>
      </x:c>
      <x:c r="Q152" s="130" t="str">
        <x:f>IF(P152="","",P152-'总览仪表盘'!$C$5)</x:f>
      </x:c>
      <x:c r="R152" s="19"/>
    </x:row>
    <x:row r="153">
      <x:c r="A153" s="126"/>
      <x:c r="B153" s="127"/>
      <x:c r="C153" s="128" t="n">
        <x:v>1</x:v>
      </x:c>
      <x:c r="D153" s="128"/>
      <x:c r="E153" s="128"/>
      <x:c r="F153" s="128"/>
      <x:c r="G153" s="128"/>
      <x:c r="H153" s="128"/>
      <x:c r="I153" s="129" t="str">
        <x:f>IF(COUNTA(E153:H153)=0,"",SUM(E153:H153))</x:f>
      </x:c>
      <x:c r="J153" s="130" t="str">
        <x:f>IF(I153="","",INDEX('评分规则'!$B$4:$B$44,MATCH(I153,'评分规则'!$A$4:$A$44,1)))</x:f>
      </x:c>
      <x:c r="K153" s="128"/>
      <x:c r="L153" s="128"/>
      <x:c r="M153" s="128"/>
      <x:c r="N153" s="129" t="str">
        <x:f>IF(COUNTA(K153:M153)=0,"",SUM(K153:M153))</x:f>
      </x:c>
      <x:c r="O153" s="130" t="str">
        <x:f>IF(N153="","",INDEX('评分规则'!$E$4:$E$44,MATCH(N153,'评分规则'!$D$4:$D$44,1)))</x:f>
      </x:c>
      <x:c r="P153" s="130" t="str">
        <x:f>IF(AND(J153="",O153=""),"",AVERAGE(J153,O153))</x:f>
      </x:c>
      <x:c r="Q153" s="130" t="str">
        <x:f>IF(P153="","",P153-'总览仪表盘'!$C$5)</x:f>
      </x:c>
      <x:c r="R153" s="19"/>
    </x:row>
    <x:row r="154">
      <x:c r="A154" s="126"/>
      <x:c r="B154" s="127"/>
      <x:c r="C154" s="128" t="n">
        <x:v>2</x:v>
      </x:c>
      <x:c r="D154" s="128"/>
      <x:c r="E154" s="128"/>
      <x:c r="F154" s="128"/>
      <x:c r="G154" s="128"/>
      <x:c r="H154" s="128"/>
      <x:c r="I154" s="129" t="str">
        <x:f>IF(COUNTA(E154:H154)=0,"",SUM(E154:H154))</x:f>
      </x:c>
      <x:c r="J154" s="130" t="str">
        <x:f>IF(I154="","",INDEX('评分规则'!$B$4:$B$44,MATCH(I154,'评分规则'!$A$4:$A$44,1)))</x:f>
      </x:c>
      <x:c r="K154" s="128"/>
      <x:c r="L154" s="128"/>
      <x:c r="M154" s="128"/>
      <x:c r="N154" s="129" t="str">
        <x:f>IF(COUNTA(K154:M154)=0,"",SUM(K154:M154))</x:f>
      </x:c>
      <x:c r="O154" s="130" t="str">
        <x:f>IF(N154="","",INDEX('评分规则'!$E$4:$E$44,MATCH(N154,'评分规则'!$D$4:$D$44,1)))</x:f>
      </x:c>
      <x:c r="P154" s="130" t="str">
        <x:f>IF(AND(J154="",O154=""),"",AVERAGE(J154,O154))</x:f>
      </x:c>
      <x:c r="Q154" s="130" t="str">
        <x:f>IF(P154="","",P154-'总览仪表盘'!$C$5)</x:f>
      </x:c>
      <x:c r="R154" s="19"/>
    </x:row>
    <x:row r="155">
      <x:c r="A155" s="126"/>
      <x:c r="B155" s="127"/>
      <x:c r="C155" s="128" t="n">
        <x:v>3</x:v>
      </x:c>
      <x:c r="D155" s="128"/>
      <x:c r="E155" s="128"/>
      <x:c r="F155" s="128"/>
      <x:c r="G155" s="128"/>
      <x:c r="H155" s="128"/>
      <x:c r="I155" s="129" t="str">
        <x:f>IF(COUNTA(E155:H155)=0,"",SUM(E155:H155))</x:f>
      </x:c>
      <x:c r="J155" s="130" t="str">
        <x:f>IF(I155="","",INDEX('评分规则'!$B$4:$B$44,MATCH(I155,'评分规则'!$A$4:$A$44,1)))</x:f>
      </x:c>
      <x:c r="K155" s="128"/>
      <x:c r="L155" s="128"/>
      <x:c r="M155" s="128"/>
      <x:c r="N155" s="129" t="str">
        <x:f>IF(COUNTA(K155:M155)=0,"",SUM(K155:M155))</x:f>
      </x:c>
      <x:c r="O155" s="130" t="str">
        <x:f>IF(N155="","",INDEX('评分规则'!$E$4:$E$44,MATCH(N155,'评分规则'!$D$4:$D$44,1)))</x:f>
      </x:c>
      <x:c r="P155" s="130" t="str">
        <x:f>IF(AND(J155="",O155=""),"",AVERAGE(J155,O155))</x:f>
      </x:c>
      <x:c r="Q155" s="130" t="str">
        <x:f>IF(P155="","",P155-'总览仪表盘'!$C$5)</x:f>
      </x:c>
      <x:c r="R155" s="19"/>
    </x:row>
    <x:row r="156">
      <x:c r="A156" s="126"/>
      <x:c r="B156" s="127"/>
      <x:c r="C156" s="128" t="n">
        <x:v>4</x:v>
      </x:c>
      <x:c r="D156" s="128"/>
      <x:c r="E156" s="128"/>
      <x:c r="F156" s="128"/>
      <x:c r="G156" s="128"/>
      <x:c r="H156" s="128"/>
      <x:c r="I156" s="129" t="str">
        <x:f>IF(COUNTA(E156:H156)=0,"",SUM(E156:H156))</x:f>
      </x:c>
      <x:c r="J156" s="130" t="str">
        <x:f>IF(I156="","",INDEX('评分规则'!$B$4:$B$44,MATCH(I156,'评分规则'!$A$4:$A$44,1)))</x:f>
      </x:c>
      <x:c r="K156" s="128"/>
      <x:c r="L156" s="128"/>
      <x:c r="M156" s="128"/>
      <x:c r="N156" s="129" t="str">
        <x:f>IF(COUNTA(K156:M156)=0,"",SUM(K156:M156))</x:f>
      </x:c>
      <x:c r="O156" s="130" t="str">
        <x:f>IF(N156="","",INDEX('评分规则'!$E$4:$E$44,MATCH(N156,'评分规则'!$D$4:$D$44,1)))</x:f>
      </x:c>
      <x:c r="P156" s="130" t="str">
        <x:f>IF(AND(J156="",O156=""),"",AVERAGE(J156,O156))</x:f>
      </x:c>
      <x:c r="Q156" s="130" t="str">
        <x:f>IF(P156="","",P156-'总览仪表盘'!$C$5)</x:f>
      </x:c>
      <x:c r="R156" s="19"/>
    </x:row>
    <x:row r="157">
      <x:c r="A157" s="126"/>
      <x:c r="B157" s="127"/>
      <x:c r="C157" s="128" t="n">
        <x:v>1</x:v>
      </x:c>
      <x:c r="D157" s="128"/>
      <x:c r="E157" s="128"/>
      <x:c r="F157" s="128"/>
      <x:c r="G157" s="128"/>
      <x:c r="H157" s="128"/>
      <x:c r="I157" s="129" t="str">
        <x:f>IF(COUNTA(E157:H157)=0,"",SUM(E157:H157))</x:f>
      </x:c>
      <x:c r="J157" s="130" t="str">
        <x:f>IF(I157="","",INDEX('评分规则'!$B$4:$B$44,MATCH(I157,'评分规则'!$A$4:$A$44,1)))</x:f>
      </x:c>
      <x:c r="K157" s="128"/>
      <x:c r="L157" s="128"/>
      <x:c r="M157" s="128"/>
      <x:c r="N157" s="129" t="str">
        <x:f>IF(COUNTA(K157:M157)=0,"",SUM(K157:M157))</x:f>
      </x:c>
      <x:c r="O157" s="130" t="str">
        <x:f>IF(N157="","",INDEX('评分规则'!$E$4:$E$44,MATCH(N157,'评分规则'!$D$4:$D$44,1)))</x:f>
      </x:c>
      <x:c r="P157" s="130" t="str">
        <x:f>IF(AND(J157="",O157=""),"",AVERAGE(J157,O157))</x:f>
      </x:c>
      <x:c r="Q157" s="130" t="str">
        <x:f>IF(P157="","",P157-'总览仪表盘'!$C$5)</x:f>
      </x:c>
      <x:c r="R157" s="19"/>
    </x:row>
    <x:row r="158">
      <x:c r="A158" s="126"/>
      <x:c r="B158" s="127"/>
      <x:c r="C158" s="128" t="n">
        <x:v>2</x:v>
      </x:c>
      <x:c r="D158" s="128"/>
      <x:c r="E158" s="128"/>
      <x:c r="F158" s="128"/>
      <x:c r="G158" s="128"/>
      <x:c r="H158" s="128"/>
      <x:c r="I158" s="129" t="str">
        <x:f>IF(COUNTA(E158:H158)=0,"",SUM(E158:H158))</x:f>
      </x:c>
      <x:c r="J158" s="130" t="str">
        <x:f>IF(I158="","",INDEX('评分规则'!$B$4:$B$44,MATCH(I158,'评分规则'!$A$4:$A$44,1)))</x:f>
      </x:c>
      <x:c r="K158" s="128"/>
      <x:c r="L158" s="128"/>
      <x:c r="M158" s="128"/>
      <x:c r="N158" s="129" t="str">
        <x:f>IF(COUNTA(K158:M158)=0,"",SUM(K158:M158))</x:f>
      </x:c>
      <x:c r="O158" s="130" t="str">
        <x:f>IF(N158="","",INDEX('评分规则'!$E$4:$E$44,MATCH(N158,'评分规则'!$D$4:$D$44,1)))</x:f>
      </x:c>
      <x:c r="P158" s="130" t="str">
        <x:f>IF(AND(J158="",O158=""),"",AVERAGE(J158,O158))</x:f>
      </x:c>
      <x:c r="Q158" s="130" t="str">
        <x:f>IF(P158="","",P158-'总览仪表盘'!$C$5)</x:f>
      </x:c>
      <x:c r="R158" s="19"/>
    </x:row>
    <x:row r="159">
      <x:c r="A159" s="126"/>
      <x:c r="B159" s="127"/>
      <x:c r="C159" s="128" t="n">
        <x:v>3</x:v>
      </x:c>
      <x:c r="D159" s="128"/>
      <x:c r="E159" s="128"/>
      <x:c r="F159" s="128"/>
      <x:c r="G159" s="128"/>
      <x:c r="H159" s="128"/>
      <x:c r="I159" s="129" t="str">
        <x:f>IF(COUNTA(E159:H159)=0,"",SUM(E159:H159))</x:f>
      </x:c>
      <x:c r="J159" s="130" t="str">
        <x:f>IF(I159="","",INDEX('评分规则'!$B$4:$B$44,MATCH(I159,'评分规则'!$A$4:$A$44,1)))</x:f>
      </x:c>
      <x:c r="K159" s="128"/>
      <x:c r="L159" s="128"/>
      <x:c r="M159" s="128"/>
      <x:c r="N159" s="129" t="str">
        <x:f>IF(COUNTA(K159:M159)=0,"",SUM(K159:M159))</x:f>
      </x:c>
      <x:c r="O159" s="130" t="str">
        <x:f>IF(N159="","",INDEX('评分规则'!$E$4:$E$44,MATCH(N159,'评分规则'!$D$4:$D$44,1)))</x:f>
      </x:c>
      <x:c r="P159" s="130" t="str">
        <x:f>IF(AND(J159="",O159=""),"",AVERAGE(J159,O159))</x:f>
      </x:c>
      <x:c r="Q159" s="130" t="str">
        <x:f>IF(P159="","",P159-'总览仪表盘'!$C$5)</x:f>
      </x:c>
      <x:c r="R159" s="19"/>
    </x:row>
    <x:row r="160">
      <x:c r="A160" s="126"/>
      <x:c r="B160" s="127"/>
      <x:c r="C160" s="128" t="n">
        <x:v>4</x:v>
      </x:c>
      <x:c r="D160" s="128"/>
      <x:c r="E160" s="128"/>
      <x:c r="F160" s="128"/>
      <x:c r="G160" s="128"/>
      <x:c r="H160" s="128"/>
      <x:c r="I160" s="129" t="str">
        <x:f>IF(COUNTA(E160:H160)=0,"",SUM(E160:H160))</x:f>
      </x:c>
      <x:c r="J160" s="130" t="str">
        <x:f>IF(I160="","",INDEX('评分规则'!$B$4:$B$44,MATCH(I160,'评分规则'!$A$4:$A$44,1)))</x:f>
      </x:c>
      <x:c r="K160" s="128"/>
      <x:c r="L160" s="128"/>
      <x:c r="M160" s="128"/>
      <x:c r="N160" s="129" t="str">
        <x:f>IF(COUNTA(K160:M160)=0,"",SUM(K160:M160))</x:f>
      </x:c>
      <x:c r="O160" s="130" t="str">
        <x:f>IF(N160="","",INDEX('评分规则'!$E$4:$E$44,MATCH(N160,'评分规则'!$D$4:$D$44,1)))</x:f>
      </x:c>
      <x:c r="P160" s="130" t="str">
        <x:f>IF(AND(J160="",O160=""),"",AVERAGE(J160,O160))</x:f>
      </x:c>
      <x:c r="Q160" s="130" t="str">
        <x:f>IF(P160="","",P160-'总览仪表盘'!$C$5)</x:f>
      </x:c>
      <x:c r="R160" s="19"/>
    </x:row>
    <x:row r="161">
      <x:c r="A161" s="126"/>
      <x:c r="B161" s="127"/>
      <x:c r="C161" s="128" t="n">
        <x:v>1</x:v>
      </x:c>
      <x:c r="D161" s="128"/>
      <x:c r="E161" s="128"/>
      <x:c r="F161" s="128"/>
      <x:c r="G161" s="128"/>
      <x:c r="H161" s="128"/>
      <x:c r="I161" s="129" t="str">
        <x:f>IF(COUNTA(E161:H161)=0,"",SUM(E161:H161))</x:f>
      </x:c>
      <x:c r="J161" s="130" t="str">
        <x:f>IF(I161="","",INDEX('评分规则'!$B$4:$B$44,MATCH(I161,'评分规则'!$A$4:$A$44,1)))</x:f>
      </x:c>
      <x:c r="K161" s="128"/>
      <x:c r="L161" s="128"/>
      <x:c r="M161" s="128"/>
      <x:c r="N161" s="129" t="str">
        <x:f>IF(COUNTA(K161:M161)=0,"",SUM(K161:M161))</x:f>
      </x:c>
      <x:c r="O161" s="130" t="str">
        <x:f>IF(N161="","",INDEX('评分规则'!$E$4:$E$44,MATCH(N161,'评分规则'!$D$4:$D$44,1)))</x:f>
      </x:c>
      <x:c r="P161" s="130" t="str">
        <x:f>IF(AND(J161="",O161=""),"",AVERAGE(J161,O161))</x:f>
      </x:c>
      <x:c r="Q161" s="130" t="str">
        <x:f>IF(P161="","",P161-'总览仪表盘'!$C$5)</x:f>
      </x:c>
      <x:c r="R161" s="19"/>
    </x:row>
    <x:row r="162">
      <x:c r="A162" s="126"/>
      <x:c r="B162" s="127"/>
      <x:c r="C162" s="128" t="n">
        <x:v>2</x:v>
      </x:c>
      <x:c r="D162" s="128"/>
      <x:c r="E162" s="128"/>
      <x:c r="F162" s="128"/>
      <x:c r="G162" s="128"/>
      <x:c r="H162" s="128"/>
      <x:c r="I162" s="129" t="str">
        <x:f>IF(COUNTA(E162:H162)=0,"",SUM(E162:H162))</x:f>
      </x:c>
      <x:c r="J162" s="130" t="str">
        <x:f>IF(I162="","",INDEX('评分规则'!$B$4:$B$44,MATCH(I162,'评分规则'!$A$4:$A$44,1)))</x:f>
      </x:c>
      <x:c r="K162" s="128"/>
      <x:c r="L162" s="128"/>
      <x:c r="M162" s="128"/>
      <x:c r="N162" s="129" t="str">
        <x:f>IF(COUNTA(K162:M162)=0,"",SUM(K162:M162))</x:f>
      </x:c>
      <x:c r="O162" s="130" t="str">
        <x:f>IF(N162="","",INDEX('评分规则'!$E$4:$E$44,MATCH(N162,'评分规则'!$D$4:$D$44,1)))</x:f>
      </x:c>
      <x:c r="P162" s="130" t="str">
        <x:f>IF(AND(J162="",O162=""),"",AVERAGE(J162,O162))</x:f>
      </x:c>
      <x:c r="Q162" s="130" t="str">
        <x:f>IF(P162="","",P162-'总览仪表盘'!$C$5)</x:f>
      </x:c>
      <x:c r="R162" s="19"/>
    </x:row>
    <x:row r="163">
      <x:c r="A163" s="126"/>
      <x:c r="B163" s="127"/>
      <x:c r="C163" s="128" t="n">
        <x:v>3</x:v>
      </x:c>
      <x:c r="D163" s="128"/>
      <x:c r="E163" s="128"/>
      <x:c r="F163" s="128"/>
      <x:c r="G163" s="128"/>
      <x:c r="H163" s="128"/>
      <x:c r="I163" s="129" t="str">
        <x:f>IF(COUNTA(E163:H163)=0,"",SUM(E163:H163))</x:f>
      </x:c>
      <x:c r="J163" s="130" t="str">
        <x:f>IF(I163="","",INDEX('评分规则'!$B$4:$B$44,MATCH(I163,'评分规则'!$A$4:$A$44,1)))</x:f>
      </x:c>
      <x:c r="K163" s="128"/>
      <x:c r="L163" s="128"/>
      <x:c r="M163" s="128"/>
      <x:c r="N163" s="129" t="str">
        <x:f>IF(COUNTA(K163:M163)=0,"",SUM(K163:M163))</x:f>
      </x:c>
      <x:c r="O163" s="130" t="str">
        <x:f>IF(N163="","",INDEX('评分规则'!$E$4:$E$44,MATCH(N163,'评分规则'!$D$4:$D$44,1)))</x:f>
      </x:c>
      <x:c r="P163" s="130" t="str">
        <x:f>IF(AND(J163="",O163=""),"",AVERAGE(J163,O163))</x:f>
      </x:c>
      <x:c r="Q163" s="130" t="str">
        <x:f>IF(P163="","",P163-'总览仪表盘'!$C$5)</x:f>
      </x:c>
      <x:c r="R163" s="19"/>
    </x:row>
    <x:row r="164">
      <x:c r="A164" s="126"/>
      <x:c r="B164" s="127"/>
      <x:c r="C164" s="128" t="n">
        <x:v>4</x:v>
      </x:c>
      <x:c r="D164" s="128"/>
      <x:c r="E164" s="128"/>
      <x:c r="F164" s="128"/>
      <x:c r="G164" s="128"/>
      <x:c r="H164" s="128"/>
      <x:c r="I164" s="129" t="str">
        <x:f>IF(COUNTA(E164:H164)=0,"",SUM(E164:H164))</x:f>
      </x:c>
      <x:c r="J164" s="130" t="str">
        <x:f>IF(I164="","",INDEX('评分规则'!$B$4:$B$44,MATCH(I164,'评分规则'!$A$4:$A$44,1)))</x:f>
      </x:c>
      <x:c r="K164" s="128"/>
      <x:c r="L164" s="128"/>
      <x:c r="M164" s="128"/>
      <x:c r="N164" s="129" t="str">
        <x:f>IF(COUNTA(K164:M164)=0,"",SUM(K164:M164))</x:f>
      </x:c>
      <x:c r="O164" s="130" t="str">
        <x:f>IF(N164="","",INDEX('评分规则'!$E$4:$E$44,MATCH(N164,'评分规则'!$D$4:$D$44,1)))</x:f>
      </x:c>
      <x:c r="P164" s="130" t="str">
        <x:f>IF(AND(J164="",O164=""),"",AVERAGE(J164,O164))</x:f>
      </x:c>
      <x:c r="Q164" s="130" t="str">
        <x:f>IF(P164="","",P164-'总览仪表盘'!$C$5)</x:f>
      </x:c>
      <x:c r="R164" s="19"/>
    </x:row>
  </x:sheetData>
  <x:mergeCells>
    <x:mergeCell ref="A1:R1"/>
    <x:mergeCell ref="A2:R2"/>
    <x:mergeCell ref="B5:B8"/>
    <x:mergeCell ref="B9:B12"/>
    <x:mergeCell ref="B13:B16"/>
    <x:mergeCell ref="B17:B20"/>
    <x:mergeCell ref="B21:B24"/>
    <x:mergeCell ref="B25:B28"/>
    <x:mergeCell ref="B29:B32"/>
    <x:mergeCell ref="B33:B36"/>
    <x:mergeCell ref="B37:B40"/>
    <x:mergeCell ref="B41:B44"/>
    <x:mergeCell ref="B45:B48"/>
    <x:mergeCell ref="B49:B52"/>
    <x:mergeCell ref="B53:B56"/>
    <x:mergeCell ref="B57:B60"/>
    <x:mergeCell ref="B61:B64"/>
    <x:mergeCell ref="B65:B68"/>
    <x:mergeCell ref="B69:B72"/>
    <x:mergeCell ref="B73:B76"/>
    <x:mergeCell ref="B77:B80"/>
    <x:mergeCell ref="B81:B84"/>
    <x:mergeCell ref="B85:B88"/>
    <x:mergeCell ref="B89:B92"/>
    <x:mergeCell ref="B93:B96"/>
    <x:mergeCell ref="B97:B100"/>
    <x:mergeCell ref="B101:B104"/>
    <x:mergeCell ref="B105:B108"/>
    <x:mergeCell ref="B109:B112"/>
    <x:mergeCell ref="B113:B116"/>
    <x:mergeCell ref="B117:B120"/>
    <x:mergeCell ref="B121:B124"/>
    <x:mergeCell ref="B125:B128"/>
    <x:mergeCell ref="B129:B132"/>
    <x:mergeCell ref="B133:B136"/>
    <x:mergeCell ref="B137:B140"/>
    <x:mergeCell ref="B141:B144"/>
    <x:mergeCell ref="B145:B148"/>
    <x:mergeCell ref="B149:B152"/>
    <x:mergeCell ref="B153:B156"/>
    <x:mergeCell ref="B157:B160"/>
    <x:mergeCell ref="B161:B164"/>
  </x:mergeCells>
  <x:dataValidations count="4">
    <x:dataValidation type="whole" operator="between" sqref="C5:C164">
      <x:formula1>1</x:formula1>
      <x:formula2>4</x:formula2>
    </x:dataValidation>
    <x:dataValidation type="whole" operator="between" sqref="D5:D164">
      <x:formula1>1</x:formula1>
      <x:formula2>99</x:formula2>
    </x:dataValidation>
    <x:dataValidation type="whole" operator="between" sqref="E5:H164">
      <x:formula1>0</x:formula1>
      <x:formula2>10</x:formula2>
    </x:dataValidation>
    <x:dataValidation type="whole" operator="between" sqref="K5:M164">
      <x:formula1>0</x:formula1>
      <x:formula2>14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28" hidden="0" customWidth="1"/>
    <x:col min="11" max="11" width="2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7" t="str">
        <x:v>趋势数据</x:v>
      </x:c>
      <x:c r="B1" s="7" t="str">
        <x:v>趋势数据</x:v>
      </x:c>
      <x:c r="C1" s="7" t="str">
        <x:v>趋势数据</x:v>
      </x:c>
      <x:c r="D1" s="7" t="str">
        <x:v>趋势数据</x:v>
      </x:c>
      <x:c r="E1" s="7" t="str">
        <x:v>趋势数据</x:v>
      </x:c>
      <x:c r="F1" s="7" t="str">
        <x:v>趋势数据</x:v>
      </x:c>
      <x:c r="G1" s="7" t="str">
        <x:v>趋势数据</x:v>
      </x:c>
      <x:c r="H1" s="7" t="str">
        <x:v>趋势数据</x:v>
      </x:c>
      <x:c r="I1" s="133"/>
      <x:c r="J1" s="1"/>
      <x:c r="K1" s="1"/>
      <x:c r="L1" s="1"/>
      <x:c r="M1" s="1"/>
      <x:c r="N1" s="1"/>
    </x:row>
    <x:row r="2">
      <x:c r="A2" s="10" t="str">
        <x:v>该表自动整理“练习记录”中的分数。筛选剑雅/Test 后即可查看复刷趋势。</x:v>
      </x:c>
      <x:c r="B2" s="10" t="str">
        <x:v>该表自动整理“练习记录”中的分数。筛选剑雅/Test 后即可查看复刷趋势。</x:v>
      </x:c>
      <x:c r="C2" s="10" t="str">
        <x:v>该表自动整理“练习记录”中的分数。筛选剑雅/Test 后即可查看复刷趋势。</x:v>
      </x:c>
      <x:c r="D2" s="10" t="str">
        <x:v>该表自动整理“练习记录”中的分数。筛选剑雅/Test 后即可查看复刷趋势。</x:v>
      </x:c>
      <x:c r="E2" s="10" t="str">
        <x:v>该表自动整理“练习记录”中的分数。筛选剑雅/Test 后即可查看复刷趋势。</x:v>
      </x:c>
      <x:c r="F2" s="10" t="str">
        <x:v>该表自动整理“练习记录”中的分数。筛选剑雅/Test 后即可查看复刷趋势。</x:v>
      </x:c>
      <x:c r="G2" s="10" t="str">
        <x:v>该表自动整理“练习记录”中的分数。筛选剑雅/Test 后即可查看复刷趋势。</x:v>
      </x:c>
      <x:c r="H2" s="10" t="str">
        <x:v>该表自动整理“练习记录”中的分数。筛选剑雅/Test 后即可查看复刷趋势。</x:v>
      </x:c>
    </x:row>
    <x:row r="4">
      <x:c r="A4" s="103" t="str">
        <x:v>日期</x:v>
      </x:c>
      <x:c r="B4" s="103" t="str">
        <x:v>剑雅</x:v>
      </x:c>
      <x:c r="C4" s="103" t="str">
        <x:v>Test</x:v>
      </x:c>
      <x:c r="D4" s="103" t="str">
        <x:v>次数</x:v>
      </x:c>
      <x:c r="E4" s="103" t="str">
        <x:v>听力分数</x:v>
      </x:c>
      <x:c r="F4" s="103" t="str">
        <x:v>阅读分数</x:v>
      </x:c>
      <x:c r="G4" s="103" t="str">
        <x:v>综合均分</x:v>
      </x:c>
      <x:c r="H4" s="103" t="str">
        <x:v>目标差距</x:v>
      </x:c>
      <x:c r="I4" s="103" t="str">
        <x:v>备注</x:v>
      </x:c>
      <x:c r="K4" s="135" t="str">
        <x:v>图表标签</x:v>
      </x:c>
      <x:c r="L4" s="135" t="str">
        <x:v>听力分数</x:v>
      </x:c>
      <x:c r="M4" s="135" t="str">
        <x:v>阅读分数</x:v>
      </x:c>
      <x:c r="N4" s="135" t="str">
        <x:v>综合均分</x:v>
      </x:c>
    </x:row>
    <x:row r="5">
      <x:c r="A5" s="114" t="str">
        <x:f>IF(OR('练习记录'!$J$5&lt;&gt;"",'练习记录'!$O$5&lt;&gt;""),'练习记录'!$A$5,"")</x:f>
      </x:c>
      <x:c r="B5" s="132" t="str">
        <x:f>IF(OR('练习记录'!$J$5&lt;&gt;"",'练习记录'!$O$5&lt;&gt;""),IFERROR('练习记录'!$B$5,""),"")</x:f>
      </x:c>
      <x:c r="C5" s="132" t="str">
        <x:f>IF(OR('练习记录'!$J$5&lt;&gt;"",'练习记录'!$O$5&lt;&gt;""),'练习记录'!$C$5,"")</x:f>
      </x:c>
      <x:c r="D5" s="132" t="str">
        <x:f>IF(OR('练习记录'!$J$5&lt;&gt;"",'练习记录'!$O$5&lt;&gt;""),'练习记录'!$D$5,"")</x:f>
      </x:c>
      <x:c r="E5" s="116" t="str">
        <x:f>IF('练习记录'!$J$5&lt;&gt;"",'练习记录'!$J$5,"")</x:f>
      </x:c>
      <x:c r="F5" s="116" t="str">
        <x:f>IF('练习记录'!$O$5&lt;&gt;"",'练习记录'!$O$5,"")</x:f>
      </x:c>
      <x:c r="G5" s="116" t="str">
        <x:f>IF('练习记录'!$P$5&lt;&gt;"",'练习记录'!$P$5,"")</x:f>
      </x:c>
      <x:c r="H5" s="116" t="str">
        <x:f>IF('练习记录'!$Q$5&lt;&gt;"",'练习记录'!$Q$5,"")</x:f>
      </x:c>
      <x:c r="I5" s="115" t="n">
        <x:f>'练习记录'!$R$5</x:f>
        <x:v>0</x:v>
      </x:c>
      <x:c r="K5" s="115" t="str">
        <x:f>IF(OR(E5&lt;&gt;"",F5&lt;&gt;""),"剑雅"&amp;B5&amp;"-T"&amp;C5&amp;"-第"&amp;IF(D5="",1,D5)&amp;"次","")</x:f>
      </x:c>
      <x:c r="L5" s="116" t="str">
        <x:f>IF(E5&lt;&gt;"",E5,"")</x:f>
      </x:c>
      <x:c r="M5" s="116" t="str">
        <x:f>IF(F5&lt;&gt;"",F5,"")</x:f>
      </x:c>
      <x:c r="N5" s="116" t="str">
        <x:f>IF(G5&lt;&gt;"",G5,"")</x:f>
      </x:c>
    </x:row>
    <x:row r="6">
      <x:c r="A6" s="114" t="str">
        <x:f>IF(OR('练习记录'!$J$6&lt;&gt;"",'练习记录'!$O$6&lt;&gt;""),'练习记录'!$A$6,"")</x:f>
      </x:c>
      <x:c r="B6" s="132" t="str">
        <x:f>IF(OR('练习记录'!$J$6&lt;&gt;"",'练习记录'!$O$6&lt;&gt;""),IFERROR('练习记录'!$B$5,""),"")</x:f>
      </x:c>
      <x:c r="C6" s="132" t="str">
        <x:f>IF(OR('练习记录'!$J$6&lt;&gt;"",'练习记录'!$O$6&lt;&gt;""),'练习记录'!$C$6,"")</x:f>
      </x:c>
      <x:c r="D6" s="132" t="str">
        <x:f>IF(OR('练习记录'!$J$6&lt;&gt;"",'练习记录'!$O$6&lt;&gt;""),'练习记录'!$D$6,"")</x:f>
      </x:c>
      <x:c r="E6" s="116" t="str">
        <x:f>IF('练习记录'!$J$6&lt;&gt;"",'练习记录'!$J$6,"")</x:f>
      </x:c>
      <x:c r="F6" s="116" t="str">
        <x:f>IF('练习记录'!$O$6&lt;&gt;"",'练习记录'!$O$6,"")</x:f>
      </x:c>
      <x:c r="G6" s="116" t="str">
        <x:f>IF('练习记录'!$P$6&lt;&gt;"",'练习记录'!$P$6,"")</x:f>
      </x:c>
      <x:c r="H6" s="116" t="str">
        <x:f>IF('练习记录'!$Q$6&lt;&gt;"",'练习记录'!$Q$6,"")</x:f>
      </x:c>
      <x:c r="I6" s="115" t="n">
        <x:f>'练习记录'!$R$6</x:f>
        <x:v>0</x:v>
      </x:c>
      <x:c r="K6" s="115" t="str">
        <x:f>IF(OR(E6&lt;&gt;"",F6&lt;&gt;""),"剑雅"&amp;B6&amp;"-T"&amp;C6&amp;"-第"&amp;IF(D6="",1,D6)&amp;"次","")</x:f>
      </x:c>
      <x:c r="L6" s="116" t="str">
        <x:f>IF(E6&lt;&gt;"",E6,"")</x:f>
      </x:c>
      <x:c r="M6" s="116" t="str">
        <x:f>IF(F6&lt;&gt;"",F6,"")</x:f>
      </x:c>
      <x:c r="N6" s="116" t="str">
        <x:f>IF(G6&lt;&gt;"",G6,"")</x:f>
      </x:c>
    </x:row>
    <x:row r="7">
      <x:c r="A7" s="114" t="str">
        <x:f>IF(OR('练习记录'!$J$7&lt;&gt;"",'练习记录'!$O$7&lt;&gt;""),'练习记录'!$A$7,"")</x:f>
      </x:c>
      <x:c r="B7" s="132" t="str">
        <x:f>IF(OR('练习记录'!$J$7&lt;&gt;"",'练习记录'!$O$7&lt;&gt;""),IFERROR('练习记录'!$B$5,""),"")</x:f>
      </x:c>
      <x:c r="C7" s="132" t="str">
        <x:f>IF(OR('练习记录'!$J$7&lt;&gt;"",'练习记录'!$O$7&lt;&gt;""),'练习记录'!$C$7,"")</x:f>
      </x:c>
      <x:c r="D7" s="132" t="str">
        <x:f>IF(OR('练习记录'!$J$7&lt;&gt;"",'练习记录'!$O$7&lt;&gt;""),'练习记录'!$D$7,"")</x:f>
      </x:c>
      <x:c r="E7" s="116" t="str">
        <x:f>IF('练习记录'!$J$7&lt;&gt;"",'练习记录'!$J$7,"")</x:f>
      </x:c>
      <x:c r="F7" s="116" t="str">
        <x:f>IF('练习记录'!$O$7&lt;&gt;"",'练习记录'!$O$7,"")</x:f>
      </x:c>
      <x:c r="G7" s="116" t="str">
        <x:f>IF('练习记录'!$P$7&lt;&gt;"",'练习记录'!$P$7,"")</x:f>
      </x:c>
      <x:c r="H7" s="116" t="str">
        <x:f>IF('练习记录'!$Q$7&lt;&gt;"",'练习记录'!$Q$7,"")</x:f>
      </x:c>
      <x:c r="I7" s="115" t="n">
        <x:f>'练习记录'!$R$7</x:f>
        <x:v>0</x:v>
      </x:c>
      <x:c r="K7" s="115" t="str">
        <x:f>IF(OR(E7&lt;&gt;"",F7&lt;&gt;""),"剑雅"&amp;B7&amp;"-T"&amp;C7&amp;"-第"&amp;IF(D7="",1,D7)&amp;"次","")</x:f>
      </x:c>
      <x:c r="L7" s="116" t="str">
        <x:f>IF(E7&lt;&gt;"",E7,"")</x:f>
      </x:c>
      <x:c r="M7" s="116" t="str">
        <x:f>IF(F7&lt;&gt;"",F7,"")</x:f>
      </x:c>
      <x:c r="N7" s="116" t="str">
        <x:f>IF(G7&lt;&gt;"",G7,"")</x:f>
      </x:c>
    </x:row>
    <x:row r="8">
      <x:c r="A8" s="114" t="str">
        <x:f>IF(OR('练习记录'!$J$8&lt;&gt;"",'练习记录'!$O$8&lt;&gt;""),'练习记录'!$A$8,"")</x:f>
      </x:c>
      <x:c r="B8" s="132" t="str">
        <x:f>IF(OR('练习记录'!$J$8&lt;&gt;"",'练习记录'!$O$8&lt;&gt;""),IFERROR('练习记录'!$B$5,""),"")</x:f>
      </x:c>
      <x:c r="C8" s="132" t="str">
        <x:f>IF(OR('练习记录'!$J$8&lt;&gt;"",'练习记录'!$O$8&lt;&gt;""),'练习记录'!$C$8,"")</x:f>
      </x:c>
      <x:c r="D8" s="132" t="str">
        <x:f>IF(OR('练习记录'!$J$8&lt;&gt;"",'练习记录'!$O$8&lt;&gt;""),'练习记录'!$D$8,"")</x:f>
      </x:c>
      <x:c r="E8" s="116" t="str">
        <x:f>IF('练习记录'!$J$8&lt;&gt;"",'练习记录'!$J$8,"")</x:f>
      </x:c>
      <x:c r="F8" s="116" t="str">
        <x:f>IF('练习记录'!$O$8&lt;&gt;"",'练习记录'!$O$8,"")</x:f>
      </x:c>
      <x:c r="G8" s="116" t="str">
        <x:f>IF('练习记录'!$P$8&lt;&gt;"",'练习记录'!$P$8,"")</x:f>
      </x:c>
      <x:c r="H8" s="116" t="str">
        <x:f>IF('练习记录'!$Q$8&lt;&gt;"",'练习记录'!$Q$8,"")</x:f>
      </x:c>
      <x:c r="I8" s="115" t="n">
        <x:f>'练习记录'!$R$8</x:f>
        <x:v>0</x:v>
      </x:c>
      <x:c r="K8" s="115" t="str">
        <x:f>IF(OR(E8&lt;&gt;"",F8&lt;&gt;""),"剑雅"&amp;B8&amp;"-T"&amp;C8&amp;"-第"&amp;IF(D8="",1,D8)&amp;"次","")</x:f>
      </x:c>
      <x:c r="L8" s="116" t="str">
        <x:f>IF(E8&lt;&gt;"",E8,"")</x:f>
      </x:c>
      <x:c r="M8" s="116" t="str">
        <x:f>IF(F8&lt;&gt;"",F8,"")</x:f>
      </x:c>
      <x:c r="N8" s="116" t="str">
        <x:f>IF(G8&lt;&gt;"",G8,"")</x:f>
      </x:c>
    </x:row>
    <x:row r="9">
      <x:c r="A9" s="114" t="str">
        <x:f>IF(OR('练习记录'!$J$9&lt;&gt;"",'练习记录'!$O$9&lt;&gt;""),'练习记录'!$A$9,"")</x:f>
      </x:c>
      <x:c r="B9" s="132" t="str">
        <x:f>IF(OR('练习记录'!$J$9&lt;&gt;"",'练习记录'!$O$9&lt;&gt;""),IFERROR('练习记录'!$B$9,""),"")</x:f>
      </x:c>
      <x:c r="C9" s="132" t="str">
        <x:f>IF(OR('练习记录'!$J$9&lt;&gt;"",'练习记录'!$O$9&lt;&gt;""),'练习记录'!$C$9,"")</x:f>
      </x:c>
      <x:c r="D9" s="132" t="str">
        <x:f>IF(OR('练习记录'!$J$9&lt;&gt;"",'练习记录'!$O$9&lt;&gt;""),'练习记录'!$D$9,"")</x:f>
      </x:c>
      <x:c r="E9" s="116" t="str">
        <x:f>IF('练习记录'!$J$9&lt;&gt;"",'练习记录'!$J$9,"")</x:f>
      </x:c>
      <x:c r="F9" s="116" t="str">
        <x:f>IF('练习记录'!$O$9&lt;&gt;"",'练习记录'!$O$9,"")</x:f>
      </x:c>
      <x:c r="G9" s="116" t="str">
        <x:f>IF('练习记录'!$P$9&lt;&gt;"",'练习记录'!$P$9,"")</x:f>
      </x:c>
      <x:c r="H9" s="116" t="str">
        <x:f>IF('练习记录'!$Q$9&lt;&gt;"",'练习记录'!$Q$9,"")</x:f>
      </x:c>
      <x:c r="I9" s="115" t="n">
        <x:f>'练习记录'!$R$9</x:f>
        <x:v>0</x:v>
      </x:c>
      <x:c r="K9" s="115" t="str">
        <x:f>IF(OR(E9&lt;&gt;"",F9&lt;&gt;""),"剑雅"&amp;B9&amp;"-T"&amp;C9&amp;"-第"&amp;IF(D9="",1,D9)&amp;"次","")</x:f>
      </x:c>
      <x:c r="L9" s="116" t="str">
        <x:f>IF(E9&lt;&gt;"",E9,"")</x:f>
      </x:c>
      <x:c r="M9" s="116" t="str">
        <x:f>IF(F9&lt;&gt;"",F9,"")</x:f>
      </x:c>
      <x:c r="N9" s="116" t="str">
        <x:f>IF(G9&lt;&gt;"",G9,"")</x:f>
      </x:c>
    </x:row>
    <x:row r="10">
      <x:c r="A10" s="114" t="str">
        <x:f>IF(OR('练习记录'!$J$10&lt;&gt;"",'练习记录'!$O$10&lt;&gt;""),'练习记录'!$A$10,"")</x:f>
      </x:c>
      <x:c r="B10" s="132" t="str">
        <x:f>IF(OR('练习记录'!$J$10&lt;&gt;"",'练习记录'!$O$10&lt;&gt;""),IFERROR('练习记录'!$B$9,""),"")</x:f>
      </x:c>
      <x:c r="C10" s="132" t="str">
        <x:f>IF(OR('练习记录'!$J$10&lt;&gt;"",'练习记录'!$O$10&lt;&gt;""),'练习记录'!$C$10,"")</x:f>
      </x:c>
      <x:c r="D10" s="132" t="str">
        <x:f>IF(OR('练习记录'!$J$10&lt;&gt;"",'练习记录'!$O$10&lt;&gt;""),'练习记录'!$D$10,"")</x:f>
      </x:c>
      <x:c r="E10" s="116" t="str">
        <x:f>IF('练习记录'!$J$10&lt;&gt;"",'练习记录'!$J$10,"")</x:f>
      </x:c>
      <x:c r="F10" s="116" t="str">
        <x:f>IF('练习记录'!$O$10&lt;&gt;"",'练习记录'!$O$10,"")</x:f>
      </x:c>
      <x:c r="G10" s="116" t="str">
        <x:f>IF('练习记录'!$P$10&lt;&gt;"",'练习记录'!$P$10,"")</x:f>
      </x:c>
      <x:c r="H10" s="116" t="str">
        <x:f>IF('练习记录'!$Q$10&lt;&gt;"",'练习记录'!$Q$10,"")</x:f>
      </x:c>
      <x:c r="I10" s="115" t="n">
        <x:f>'练习记录'!$R$10</x:f>
        <x:v>0</x:v>
      </x:c>
      <x:c r="K10" s="115" t="str">
        <x:f>IF(OR(E10&lt;&gt;"",F10&lt;&gt;""),"剑雅"&amp;B10&amp;"-T"&amp;C10&amp;"-第"&amp;IF(D10="",1,D10)&amp;"次","")</x:f>
      </x:c>
      <x:c r="L10" s="116" t="str">
        <x:f>IF(E10&lt;&gt;"",E10,"")</x:f>
      </x:c>
      <x:c r="M10" s="116" t="str">
        <x:f>IF(F10&lt;&gt;"",F10,"")</x:f>
      </x:c>
      <x:c r="N10" s="116" t="str">
        <x:f>IF(G10&lt;&gt;"",G10,"")</x:f>
      </x:c>
    </x:row>
    <x:row r="11">
      <x:c r="A11" s="114" t="str">
        <x:f>IF(OR('练习记录'!$J$11&lt;&gt;"",'练习记录'!$O$11&lt;&gt;""),'练习记录'!$A$11,"")</x:f>
      </x:c>
      <x:c r="B11" s="132" t="str">
        <x:f>IF(OR('练习记录'!$J$11&lt;&gt;"",'练习记录'!$O$11&lt;&gt;""),IFERROR('练习记录'!$B$9,""),"")</x:f>
      </x:c>
      <x:c r="C11" s="132" t="str">
        <x:f>IF(OR('练习记录'!$J$11&lt;&gt;"",'练习记录'!$O$11&lt;&gt;""),'练习记录'!$C$11,"")</x:f>
      </x:c>
      <x:c r="D11" s="132" t="str">
        <x:f>IF(OR('练习记录'!$J$11&lt;&gt;"",'练习记录'!$O$11&lt;&gt;""),'练习记录'!$D$11,"")</x:f>
      </x:c>
      <x:c r="E11" s="116" t="str">
        <x:f>IF('练习记录'!$J$11&lt;&gt;"",'练习记录'!$J$11,"")</x:f>
      </x:c>
      <x:c r="F11" s="116" t="str">
        <x:f>IF('练习记录'!$O$11&lt;&gt;"",'练习记录'!$O$11,"")</x:f>
      </x:c>
      <x:c r="G11" s="116" t="str">
        <x:f>IF('练习记录'!$P$11&lt;&gt;"",'练习记录'!$P$11,"")</x:f>
      </x:c>
      <x:c r="H11" s="116" t="str">
        <x:f>IF('练习记录'!$Q$11&lt;&gt;"",'练习记录'!$Q$11,"")</x:f>
      </x:c>
      <x:c r="I11" s="115" t="n">
        <x:f>'练习记录'!$R$11</x:f>
        <x:v>0</x:v>
      </x:c>
      <x:c r="K11" s="115" t="str">
        <x:f>IF(OR(E11&lt;&gt;"",F11&lt;&gt;""),"剑雅"&amp;B11&amp;"-T"&amp;C11&amp;"-第"&amp;IF(D11="",1,D11)&amp;"次","")</x:f>
      </x:c>
      <x:c r="L11" s="116" t="str">
        <x:f>IF(E11&lt;&gt;"",E11,"")</x:f>
      </x:c>
      <x:c r="M11" s="116" t="str">
        <x:f>IF(F11&lt;&gt;"",F11,"")</x:f>
      </x:c>
      <x:c r="N11" s="116" t="str">
        <x:f>IF(G11&lt;&gt;"",G11,"")</x:f>
      </x:c>
    </x:row>
    <x:row r="12">
      <x:c r="A12" s="114" t="str">
        <x:f>IF(OR('练习记录'!$J$12&lt;&gt;"",'练习记录'!$O$12&lt;&gt;""),'练习记录'!$A$12,"")</x:f>
      </x:c>
      <x:c r="B12" s="132" t="str">
        <x:f>IF(OR('练习记录'!$J$12&lt;&gt;"",'练习记录'!$O$12&lt;&gt;""),IFERROR('练习记录'!$B$9,""),"")</x:f>
      </x:c>
      <x:c r="C12" s="132" t="str">
        <x:f>IF(OR('练习记录'!$J$12&lt;&gt;"",'练习记录'!$O$12&lt;&gt;""),'练习记录'!$C$12,"")</x:f>
      </x:c>
      <x:c r="D12" s="132" t="str">
        <x:f>IF(OR('练习记录'!$J$12&lt;&gt;"",'练习记录'!$O$12&lt;&gt;""),'练习记录'!$D$12,"")</x:f>
      </x:c>
      <x:c r="E12" s="116" t="str">
        <x:f>IF('练习记录'!$J$12&lt;&gt;"",'练习记录'!$J$12,"")</x:f>
      </x:c>
      <x:c r="F12" s="116" t="str">
        <x:f>IF('练习记录'!$O$12&lt;&gt;"",'练习记录'!$O$12,"")</x:f>
      </x:c>
      <x:c r="G12" s="116" t="str">
        <x:f>IF('练习记录'!$P$12&lt;&gt;"",'练习记录'!$P$12,"")</x:f>
      </x:c>
      <x:c r="H12" s="116" t="str">
        <x:f>IF('练习记录'!$Q$12&lt;&gt;"",'练习记录'!$Q$12,"")</x:f>
      </x:c>
      <x:c r="I12" s="115" t="n">
        <x:f>'练习记录'!$R$12</x:f>
        <x:v>0</x:v>
      </x:c>
      <x:c r="K12" s="115" t="str">
        <x:f>IF(OR(E12&lt;&gt;"",F12&lt;&gt;""),"剑雅"&amp;B12&amp;"-T"&amp;C12&amp;"-第"&amp;IF(D12="",1,D12)&amp;"次","")</x:f>
      </x:c>
      <x:c r="L12" s="116" t="str">
        <x:f>IF(E12&lt;&gt;"",E12,"")</x:f>
      </x:c>
      <x:c r="M12" s="116" t="str">
        <x:f>IF(F12&lt;&gt;"",F12,"")</x:f>
      </x:c>
      <x:c r="N12" s="116" t="str">
        <x:f>IF(G12&lt;&gt;"",G12,"")</x:f>
      </x:c>
    </x:row>
    <x:row r="13">
      <x:c r="A13" s="114" t="str">
        <x:f>IF(OR('练习记录'!$J$13&lt;&gt;"",'练习记录'!$O$13&lt;&gt;""),'练习记录'!$A$13,"")</x:f>
      </x:c>
      <x:c r="B13" s="132" t="str">
        <x:f>IF(OR('练习记录'!$J$13&lt;&gt;"",'练习记录'!$O$13&lt;&gt;""),IFERROR('练习记录'!$B$13,""),"")</x:f>
      </x:c>
      <x:c r="C13" s="132" t="str">
        <x:f>IF(OR('练习记录'!$J$13&lt;&gt;"",'练习记录'!$O$13&lt;&gt;""),'练习记录'!$C$13,"")</x:f>
      </x:c>
      <x:c r="D13" s="132" t="str">
        <x:f>IF(OR('练习记录'!$J$13&lt;&gt;"",'练习记录'!$O$13&lt;&gt;""),'练习记录'!$D$13,"")</x:f>
      </x:c>
      <x:c r="E13" s="116" t="str">
        <x:f>IF('练习记录'!$J$13&lt;&gt;"",'练习记录'!$J$13,"")</x:f>
      </x:c>
      <x:c r="F13" s="116" t="str">
        <x:f>IF('练习记录'!$O$13&lt;&gt;"",'练习记录'!$O$13,"")</x:f>
      </x:c>
      <x:c r="G13" s="116" t="str">
        <x:f>IF('练习记录'!$P$13&lt;&gt;"",'练习记录'!$P$13,"")</x:f>
      </x:c>
      <x:c r="H13" s="116" t="str">
        <x:f>IF('练习记录'!$Q$13&lt;&gt;"",'练习记录'!$Q$13,"")</x:f>
      </x:c>
      <x:c r="I13" s="115" t="n">
        <x:f>'练习记录'!$R$13</x:f>
        <x:v>0</x:v>
      </x:c>
      <x:c r="K13" s="115" t="str">
        <x:f>IF(OR(E13&lt;&gt;"",F13&lt;&gt;""),"剑雅"&amp;B13&amp;"-T"&amp;C13&amp;"-第"&amp;IF(D13="",1,D13)&amp;"次","")</x:f>
      </x:c>
      <x:c r="L13" s="116" t="str">
        <x:f>IF(E13&lt;&gt;"",E13,"")</x:f>
      </x:c>
      <x:c r="M13" s="116" t="str">
        <x:f>IF(F13&lt;&gt;"",F13,"")</x:f>
      </x:c>
      <x:c r="N13" s="116" t="str">
        <x:f>IF(G13&lt;&gt;"",G13,"")</x:f>
      </x:c>
    </x:row>
    <x:row r="14">
      <x:c r="A14" s="114" t="str">
        <x:f>IF(OR('练习记录'!$J$14&lt;&gt;"",'练习记录'!$O$14&lt;&gt;""),'练习记录'!$A$14,"")</x:f>
      </x:c>
      <x:c r="B14" s="132" t="str">
        <x:f>IF(OR('练习记录'!$J$14&lt;&gt;"",'练习记录'!$O$14&lt;&gt;""),IFERROR('练习记录'!$B$13,""),"")</x:f>
      </x:c>
      <x:c r="C14" s="132" t="str">
        <x:f>IF(OR('练习记录'!$J$14&lt;&gt;"",'练习记录'!$O$14&lt;&gt;""),'练习记录'!$C$14,"")</x:f>
      </x:c>
      <x:c r="D14" s="132" t="str">
        <x:f>IF(OR('练习记录'!$J$14&lt;&gt;"",'练习记录'!$O$14&lt;&gt;""),'练习记录'!$D$14,"")</x:f>
      </x:c>
      <x:c r="E14" s="116" t="str">
        <x:f>IF('练习记录'!$J$14&lt;&gt;"",'练习记录'!$J$14,"")</x:f>
      </x:c>
      <x:c r="F14" s="116" t="str">
        <x:f>IF('练习记录'!$O$14&lt;&gt;"",'练习记录'!$O$14,"")</x:f>
      </x:c>
      <x:c r="G14" s="116" t="str">
        <x:f>IF('练习记录'!$P$14&lt;&gt;"",'练习记录'!$P$14,"")</x:f>
      </x:c>
      <x:c r="H14" s="116" t="str">
        <x:f>IF('练习记录'!$Q$14&lt;&gt;"",'练习记录'!$Q$14,"")</x:f>
      </x:c>
      <x:c r="I14" s="115" t="n">
        <x:f>'练习记录'!$R$14</x:f>
        <x:v>0</x:v>
      </x:c>
      <x:c r="K14" s="115" t="str">
        <x:f>IF(OR(E14&lt;&gt;"",F14&lt;&gt;""),"剑雅"&amp;B14&amp;"-T"&amp;C14&amp;"-第"&amp;IF(D14="",1,D14)&amp;"次","")</x:f>
      </x:c>
      <x:c r="L14" s="116" t="str">
        <x:f>IF(E14&lt;&gt;"",E14,"")</x:f>
      </x:c>
      <x:c r="M14" s="116" t="str">
        <x:f>IF(F14&lt;&gt;"",F14,"")</x:f>
      </x:c>
      <x:c r="N14" s="116" t="str">
        <x:f>IF(G14&lt;&gt;"",G14,"")</x:f>
      </x:c>
    </x:row>
    <x:row r="15">
      <x:c r="A15" s="114" t="str">
        <x:f>IF(OR('练习记录'!$J$15&lt;&gt;"",'练习记录'!$O$15&lt;&gt;""),'练习记录'!$A$15,"")</x:f>
      </x:c>
      <x:c r="B15" s="132" t="str">
        <x:f>IF(OR('练习记录'!$J$15&lt;&gt;"",'练习记录'!$O$15&lt;&gt;""),IFERROR('练习记录'!$B$13,""),"")</x:f>
      </x:c>
      <x:c r="C15" s="132" t="str">
        <x:f>IF(OR('练习记录'!$J$15&lt;&gt;"",'练习记录'!$O$15&lt;&gt;""),'练习记录'!$C$15,"")</x:f>
      </x:c>
      <x:c r="D15" s="132" t="str">
        <x:f>IF(OR('练习记录'!$J$15&lt;&gt;"",'练习记录'!$O$15&lt;&gt;""),'练习记录'!$D$15,"")</x:f>
      </x:c>
      <x:c r="E15" s="116" t="str">
        <x:f>IF('练习记录'!$J$15&lt;&gt;"",'练习记录'!$J$15,"")</x:f>
      </x:c>
      <x:c r="F15" s="116" t="str">
        <x:f>IF('练习记录'!$O$15&lt;&gt;"",'练习记录'!$O$15,"")</x:f>
      </x:c>
      <x:c r="G15" s="116" t="str">
        <x:f>IF('练习记录'!$P$15&lt;&gt;"",'练习记录'!$P$15,"")</x:f>
      </x:c>
      <x:c r="H15" s="116" t="str">
        <x:f>IF('练习记录'!$Q$15&lt;&gt;"",'练习记录'!$Q$15,"")</x:f>
      </x:c>
      <x:c r="I15" s="115" t="n">
        <x:f>'练习记录'!$R$15</x:f>
        <x:v>0</x:v>
      </x:c>
      <x:c r="K15" s="115" t="str">
        <x:f>IF(OR(E15&lt;&gt;"",F15&lt;&gt;""),"剑雅"&amp;B15&amp;"-T"&amp;C15&amp;"-第"&amp;IF(D15="",1,D15)&amp;"次","")</x:f>
      </x:c>
      <x:c r="L15" s="116" t="str">
        <x:f>IF(E15&lt;&gt;"",E15,"")</x:f>
      </x:c>
      <x:c r="M15" s="116" t="str">
        <x:f>IF(F15&lt;&gt;"",F15,"")</x:f>
      </x:c>
      <x:c r="N15" s="116" t="str">
        <x:f>IF(G15&lt;&gt;"",G15,"")</x:f>
      </x:c>
    </x:row>
    <x:row r="16">
      <x:c r="A16" s="114" t="str">
        <x:f>IF(OR('练习记录'!$J$16&lt;&gt;"",'练习记录'!$O$16&lt;&gt;""),'练习记录'!$A$16,"")</x:f>
      </x:c>
      <x:c r="B16" s="132" t="str">
        <x:f>IF(OR('练习记录'!$J$16&lt;&gt;"",'练习记录'!$O$16&lt;&gt;""),IFERROR('练习记录'!$B$13,""),"")</x:f>
      </x:c>
      <x:c r="C16" s="132" t="str">
        <x:f>IF(OR('练习记录'!$J$16&lt;&gt;"",'练习记录'!$O$16&lt;&gt;""),'练习记录'!$C$16,"")</x:f>
      </x:c>
      <x:c r="D16" s="132" t="str">
        <x:f>IF(OR('练习记录'!$J$16&lt;&gt;"",'练习记录'!$O$16&lt;&gt;""),'练习记录'!$D$16,"")</x:f>
      </x:c>
      <x:c r="E16" s="116" t="str">
        <x:f>IF('练习记录'!$J$16&lt;&gt;"",'练习记录'!$J$16,"")</x:f>
      </x:c>
      <x:c r="F16" s="116" t="str">
        <x:f>IF('练习记录'!$O$16&lt;&gt;"",'练习记录'!$O$16,"")</x:f>
      </x:c>
      <x:c r="G16" s="116" t="str">
        <x:f>IF('练习记录'!$P$16&lt;&gt;"",'练习记录'!$P$16,"")</x:f>
      </x:c>
      <x:c r="H16" s="116" t="str">
        <x:f>IF('练习记录'!$Q$16&lt;&gt;"",'练习记录'!$Q$16,"")</x:f>
      </x:c>
      <x:c r="I16" s="115" t="n">
        <x:f>'练习记录'!$R$16</x:f>
        <x:v>0</x:v>
      </x:c>
      <x:c r="K16" s="115" t="str">
        <x:f>IF(OR(E16&lt;&gt;"",F16&lt;&gt;""),"剑雅"&amp;B16&amp;"-T"&amp;C16&amp;"-第"&amp;IF(D16="",1,D16)&amp;"次","")</x:f>
      </x:c>
      <x:c r="L16" s="116" t="str">
        <x:f>IF(E16&lt;&gt;"",E16,"")</x:f>
      </x:c>
      <x:c r="M16" s="116" t="str">
        <x:f>IF(F16&lt;&gt;"",F16,"")</x:f>
      </x:c>
      <x:c r="N16" s="116" t="str">
        <x:f>IF(G16&lt;&gt;"",G16,"")</x:f>
      </x:c>
    </x:row>
    <x:row r="17">
      <x:c r="A17" s="114" t="str">
        <x:f>IF(OR('练习记录'!$J$17&lt;&gt;"",'练习记录'!$O$17&lt;&gt;""),'练习记录'!$A$17,"")</x:f>
      </x:c>
      <x:c r="B17" s="132" t="str">
        <x:f>IF(OR('练习记录'!$J$17&lt;&gt;"",'练习记录'!$O$17&lt;&gt;""),IFERROR('练习记录'!$B$17,""),"")</x:f>
      </x:c>
      <x:c r="C17" s="132" t="str">
        <x:f>IF(OR('练习记录'!$J$17&lt;&gt;"",'练习记录'!$O$17&lt;&gt;""),'练习记录'!$C$17,"")</x:f>
      </x:c>
      <x:c r="D17" s="132" t="str">
        <x:f>IF(OR('练习记录'!$J$17&lt;&gt;"",'练习记录'!$O$17&lt;&gt;""),'练习记录'!$D$17,"")</x:f>
      </x:c>
      <x:c r="E17" s="116" t="str">
        <x:f>IF('练习记录'!$J$17&lt;&gt;"",'练习记录'!$J$17,"")</x:f>
      </x:c>
      <x:c r="F17" s="116" t="str">
        <x:f>IF('练习记录'!$O$17&lt;&gt;"",'练习记录'!$O$17,"")</x:f>
      </x:c>
      <x:c r="G17" s="116" t="str">
        <x:f>IF('练习记录'!$P$17&lt;&gt;"",'练习记录'!$P$17,"")</x:f>
      </x:c>
      <x:c r="H17" s="116" t="str">
        <x:f>IF('练习记录'!$Q$17&lt;&gt;"",'练习记录'!$Q$17,"")</x:f>
      </x:c>
      <x:c r="I17" s="115" t="n">
        <x:f>'练习记录'!$R$17</x:f>
        <x:v>0</x:v>
      </x:c>
      <x:c r="K17" s="115" t="str">
        <x:f>IF(OR(E17&lt;&gt;"",F17&lt;&gt;""),"剑雅"&amp;B17&amp;"-T"&amp;C17&amp;"-第"&amp;IF(D17="",1,D17)&amp;"次","")</x:f>
      </x:c>
      <x:c r="L17" s="116" t="str">
        <x:f>IF(E17&lt;&gt;"",E17,"")</x:f>
      </x:c>
      <x:c r="M17" s="116" t="str">
        <x:f>IF(F17&lt;&gt;"",F17,"")</x:f>
      </x:c>
      <x:c r="N17" s="116" t="str">
        <x:f>IF(G17&lt;&gt;"",G17,"")</x:f>
      </x:c>
    </x:row>
    <x:row r="18">
      <x:c r="A18" s="114" t="str">
        <x:f>IF(OR('练习记录'!$J$18&lt;&gt;"",'练习记录'!$O$18&lt;&gt;""),'练习记录'!$A$18,"")</x:f>
      </x:c>
      <x:c r="B18" s="132" t="str">
        <x:f>IF(OR('练习记录'!$J$18&lt;&gt;"",'练习记录'!$O$18&lt;&gt;""),IFERROR('练习记录'!$B$17,""),"")</x:f>
      </x:c>
      <x:c r="C18" s="132" t="str">
        <x:f>IF(OR('练习记录'!$J$18&lt;&gt;"",'练习记录'!$O$18&lt;&gt;""),'练习记录'!$C$18,"")</x:f>
      </x:c>
      <x:c r="D18" s="132" t="str">
        <x:f>IF(OR('练习记录'!$J$18&lt;&gt;"",'练习记录'!$O$18&lt;&gt;""),'练习记录'!$D$18,"")</x:f>
      </x:c>
      <x:c r="E18" s="116" t="str">
        <x:f>IF('练习记录'!$J$18&lt;&gt;"",'练习记录'!$J$18,"")</x:f>
      </x:c>
      <x:c r="F18" s="116" t="str">
        <x:f>IF('练习记录'!$O$18&lt;&gt;"",'练习记录'!$O$18,"")</x:f>
      </x:c>
      <x:c r="G18" s="116" t="str">
        <x:f>IF('练习记录'!$P$18&lt;&gt;"",'练习记录'!$P$18,"")</x:f>
      </x:c>
      <x:c r="H18" s="116" t="str">
        <x:f>IF('练习记录'!$Q$18&lt;&gt;"",'练习记录'!$Q$18,"")</x:f>
      </x:c>
      <x:c r="I18" s="115" t="n">
        <x:f>'练习记录'!$R$18</x:f>
        <x:v>0</x:v>
      </x:c>
      <x:c r="K18" s="115" t="str">
        <x:f>IF(OR(E18&lt;&gt;"",F18&lt;&gt;""),"剑雅"&amp;B18&amp;"-T"&amp;C18&amp;"-第"&amp;IF(D18="",1,D18)&amp;"次","")</x:f>
      </x:c>
      <x:c r="L18" s="116" t="str">
        <x:f>IF(E18&lt;&gt;"",E18,"")</x:f>
      </x:c>
      <x:c r="M18" s="116" t="str">
        <x:f>IF(F18&lt;&gt;"",F18,"")</x:f>
      </x:c>
      <x:c r="N18" s="116" t="str">
        <x:f>IF(G18&lt;&gt;"",G18,"")</x:f>
      </x:c>
    </x:row>
    <x:row r="19">
      <x:c r="A19" s="114" t="str">
        <x:f>IF(OR('练习记录'!$J$19&lt;&gt;"",'练习记录'!$O$19&lt;&gt;""),'练习记录'!$A$19,"")</x:f>
      </x:c>
      <x:c r="B19" s="132" t="str">
        <x:f>IF(OR('练习记录'!$J$19&lt;&gt;"",'练习记录'!$O$19&lt;&gt;""),IFERROR('练习记录'!$B$17,""),"")</x:f>
      </x:c>
      <x:c r="C19" s="132" t="str">
        <x:f>IF(OR('练习记录'!$J$19&lt;&gt;"",'练习记录'!$O$19&lt;&gt;""),'练习记录'!$C$19,"")</x:f>
      </x:c>
      <x:c r="D19" s="132" t="str">
        <x:f>IF(OR('练习记录'!$J$19&lt;&gt;"",'练习记录'!$O$19&lt;&gt;""),'练习记录'!$D$19,"")</x:f>
      </x:c>
      <x:c r="E19" s="116" t="str">
        <x:f>IF('练习记录'!$J$19&lt;&gt;"",'练习记录'!$J$19,"")</x:f>
      </x:c>
      <x:c r="F19" s="116" t="str">
        <x:f>IF('练习记录'!$O$19&lt;&gt;"",'练习记录'!$O$19,"")</x:f>
      </x:c>
      <x:c r="G19" s="116" t="str">
        <x:f>IF('练习记录'!$P$19&lt;&gt;"",'练习记录'!$P$19,"")</x:f>
      </x:c>
      <x:c r="H19" s="116" t="str">
        <x:f>IF('练习记录'!$Q$19&lt;&gt;"",'练习记录'!$Q$19,"")</x:f>
      </x:c>
      <x:c r="I19" s="115" t="n">
        <x:f>'练习记录'!$R$19</x:f>
        <x:v>0</x:v>
      </x:c>
      <x:c r="K19" s="115" t="str">
        <x:f>IF(OR(E19&lt;&gt;"",F19&lt;&gt;""),"剑雅"&amp;B19&amp;"-T"&amp;C19&amp;"-第"&amp;IF(D19="",1,D19)&amp;"次","")</x:f>
      </x:c>
      <x:c r="L19" s="116" t="str">
        <x:f>IF(E19&lt;&gt;"",E19,"")</x:f>
      </x:c>
      <x:c r="M19" s="116" t="str">
        <x:f>IF(F19&lt;&gt;"",F19,"")</x:f>
      </x:c>
      <x:c r="N19" s="116" t="str">
        <x:f>IF(G19&lt;&gt;"",G19,"")</x:f>
      </x:c>
    </x:row>
    <x:row r="20">
      <x:c r="A20" s="114" t="str">
        <x:f>IF(OR('练习记录'!$J$20&lt;&gt;"",'练习记录'!$O$20&lt;&gt;""),'练习记录'!$A$20,"")</x:f>
      </x:c>
      <x:c r="B20" s="132" t="str">
        <x:f>IF(OR('练习记录'!$J$20&lt;&gt;"",'练习记录'!$O$20&lt;&gt;""),IFERROR('练习记录'!$B$17,""),"")</x:f>
      </x:c>
      <x:c r="C20" s="132" t="str">
        <x:f>IF(OR('练习记录'!$J$20&lt;&gt;"",'练习记录'!$O$20&lt;&gt;""),'练习记录'!$C$20,"")</x:f>
      </x:c>
      <x:c r="D20" s="132" t="str">
        <x:f>IF(OR('练习记录'!$J$20&lt;&gt;"",'练习记录'!$O$20&lt;&gt;""),'练习记录'!$D$20,"")</x:f>
      </x:c>
      <x:c r="E20" s="116" t="str">
        <x:f>IF('练习记录'!$J$20&lt;&gt;"",'练习记录'!$J$20,"")</x:f>
      </x:c>
      <x:c r="F20" s="116" t="str">
        <x:f>IF('练习记录'!$O$20&lt;&gt;"",'练习记录'!$O$20,"")</x:f>
      </x:c>
      <x:c r="G20" s="116" t="str">
        <x:f>IF('练习记录'!$P$20&lt;&gt;"",'练习记录'!$P$20,"")</x:f>
      </x:c>
      <x:c r="H20" s="116" t="str">
        <x:f>IF('练习记录'!$Q$20&lt;&gt;"",'练习记录'!$Q$20,"")</x:f>
      </x:c>
      <x:c r="I20" s="115" t="n">
        <x:f>'练习记录'!$R$20</x:f>
        <x:v>0</x:v>
      </x:c>
      <x:c r="K20" s="115" t="str">
        <x:f>IF(OR(E20&lt;&gt;"",F20&lt;&gt;""),"剑雅"&amp;B20&amp;"-T"&amp;C20&amp;"-第"&amp;IF(D20="",1,D20)&amp;"次","")</x:f>
      </x:c>
      <x:c r="L20" s="116" t="str">
        <x:f>IF(E20&lt;&gt;"",E20,"")</x:f>
      </x:c>
      <x:c r="M20" s="116" t="str">
        <x:f>IF(F20&lt;&gt;"",F20,"")</x:f>
      </x:c>
      <x:c r="N20" s="116" t="str">
        <x:f>IF(G20&lt;&gt;"",G20,"")</x:f>
      </x:c>
    </x:row>
    <x:row r="21">
      <x:c r="A21" s="114" t="str">
        <x:f>IF(OR('练习记录'!$J$21&lt;&gt;"",'练习记录'!$O$21&lt;&gt;""),'练习记录'!$A$21,"")</x:f>
      </x:c>
      <x:c r="B21" s="132" t="str">
        <x:f>IF(OR('练习记录'!$J$21&lt;&gt;"",'练习记录'!$O$21&lt;&gt;""),IFERROR('练习记录'!$B$21,""),"")</x:f>
      </x:c>
      <x:c r="C21" s="132" t="str">
        <x:f>IF(OR('练习记录'!$J$21&lt;&gt;"",'练习记录'!$O$21&lt;&gt;""),'练习记录'!$C$21,"")</x:f>
      </x:c>
      <x:c r="D21" s="132" t="str">
        <x:f>IF(OR('练习记录'!$J$21&lt;&gt;"",'练习记录'!$O$21&lt;&gt;""),'练习记录'!$D$21,"")</x:f>
      </x:c>
      <x:c r="E21" s="116" t="str">
        <x:f>IF('练习记录'!$J$21&lt;&gt;"",'练习记录'!$J$21,"")</x:f>
      </x:c>
      <x:c r="F21" s="116" t="str">
        <x:f>IF('练习记录'!$O$21&lt;&gt;"",'练习记录'!$O$21,"")</x:f>
      </x:c>
      <x:c r="G21" s="116" t="str">
        <x:f>IF('练习记录'!$P$21&lt;&gt;"",'练习记录'!$P$21,"")</x:f>
      </x:c>
      <x:c r="H21" s="116" t="str">
        <x:f>IF('练习记录'!$Q$21&lt;&gt;"",'练习记录'!$Q$21,"")</x:f>
      </x:c>
      <x:c r="I21" s="115" t="n">
        <x:f>'练习记录'!$R$21</x:f>
        <x:v>0</x:v>
      </x:c>
      <x:c r="K21" s="115" t="str">
        <x:f>IF(OR(E21&lt;&gt;"",F21&lt;&gt;""),"剑雅"&amp;B21&amp;"-T"&amp;C21&amp;"-第"&amp;IF(D21="",1,D21)&amp;"次","")</x:f>
      </x:c>
      <x:c r="L21" s="116" t="str">
        <x:f>IF(E21&lt;&gt;"",E21,"")</x:f>
      </x:c>
      <x:c r="M21" s="116" t="str">
        <x:f>IF(F21&lt;&gt;"",F21,"")</x:f>
      </x:c>
      <x:c r="N21" s="116" t="str">
        <x:f>IF(G21&lt;&gt;"",G21,"")</x:f>
      </x:c>
    </x:row>
    <x:row r="22">
      <x:c r="A22" s="114" t="str">
        <x:f>IF(OR('练习记录'!$J$22&lt;&gt;"",'练习记录'!$O$22&lt;&gt;""),'练习记录'!$A$22,"")</x:f>
      </x:c>
      <x:c r="B22" s="132" t="str">
        <x:f>IF(OR('练习记录'!$J$22&lt;&gt;"",'练习记录'!$O$22&lt;&gt;""),IFERROR('练习记录'!$B$21,""),"")</x:f>
      </x:c>
      <x:c r="C22" s="132" t="str">
        <x:f>IF(OR('练习记录'!$J$22&lt;&gt;"",'练习记录'!$O$22&lt;&gt;""),'练习记录'!$C$22,"")</x:f>
      </x:c>
      <x:c r="D22" s="132" t="str">
        <x:f>IF(OR('练习记录'!$J$22&lt;&gt;"",'练习记录'!$O$22&lt;&gt;""),'练习记录'!$D$22,"")</x:f>
      </x:c>
      <x:c r="E22" s="116" t="str">
        <x:f>IF('练习记录'!$J$22&lt;&gt;"",'练习记录'!$J$22,"")</x:f>
      </x:c>
      <x:c r="F22" s="116" t="str">
        <x:f>IF('练习记录'!$O$22&lt;&gt;"",'练习记录'!$O$22,"")</x:f>
      </x:c>
      <x:c r="G22" s="116" t="str">
        <x:f>IF('练习记录'!$P$22&lt;&gt;"",'练习记录'!$P$22,"")</x:f>
      </x:c>
      <x:c r="H22" s="116" t="str">
        <x:f>IF('练习记录'!$Q$22&lt;&gt;"",'练习记录'!$Q$22,"")</x:f>
      </x:c>
      <x:c r="I22" s="115" t="n">
        <x:f>'练习记录'!$R$22</x:f>
        <x:v>0</x:v>
      </x:c>
      <x:c r="K22" s="115" t="str">
        <x:f>IF(OR(E22&lt;&gt;"",F22&lt;&gt;""),"剑雅"&amp;B22&amp;"-T"&amp;C22&amp;"-第"&amp;IF(D22="",1,D22)&amp;"次","")</x:f>
      </x:c>
      <x:c r="L22" s="116" t="str">
        <x:f>IF(E22&lt;&gt;"",E22,"")</x:f>
      </x:c>
      <x:c r="M22" s="116" t="str">
        <x:f>IF(F22&lt;&gt;"",F22,"")</x:f>
      </x:c>
      <x:c r="N22" s="116" t="str">
        <x:f>IF(G22&lt;&gt;"",G22,"")</x:f>
      </x:c>
    </x:row>
    <x:row r="23">
      <x:c r="A23" s="114" t="str">
        <x:f>IF(OR('练习记录'!$J$23&lt;&gt;"",'练习记录'!$O$23&lt;&gt;""),'练习记录'!$A$23,"")</x:f>
      </x:c>
      <x:c r="B23" s="132" t="str">
        <x:f>IF(OR('练习记录'!$J$23&lt;&gt;"",'练习记录'!$O$23&lt;&gt;""),IFERROR('练习记录'!$B$21,""),"")</x:f>
      </x:c>
      <x:c r="C23" s="132" t="str">
        <x:f>IF(OR('练习记录'!$J$23&lt;&gt;"",'练习记录'!$O$23&lt;&gt;""),'练习记录'!$C$23,"")</x:f>
      </x:c>
      <x:c r="D23" s="132" t="str">
        <x:f>IF(OR('练习记录'!$J$23&lt;&gt;"",'练习记录'!$O$23&lt;&gt;""),'练习记录'!$D$23,"")</x:f>
      </x:c>
      <x:c r="E23" s="116" t="str">
        <x:f>IF('练习记录'!$J$23&lt;&gt;"",'练习记录'!$J$23,"")</x:f>
      </x:c>
      <x:c r="F23" s="116" t="str">
        <x:f>IF('练习记录'!$O$23&lt;&gt;"",'练习记录'!$O$23,"")</x:f>
      </x:c>
      <x:c r="G23" s="116" t="str">
        <x:f>IF('练习记录'!$P$23&lt;&gt;"",'练习记录'!$P$23,"")</x:f>
      </x:c>
      <x:c r="H23" s="116" t="str">
        <x:f>IF('练习记录'!$Q$23&lt;&gt;"",'练习记录'!$Q$23,"")</x:f>
      </x:c>
      <x:c r="I23" s="115" t="n">
        <x:f>'练习记录'!$R$23</x:f>
        <x:v>0</x:v>
      </x:c>
      <x:c r="K23" s="115" t="str">
        <x:f>IF(OR(E23&lt;&gt;"",F23&lt;&gt;""),"剑雅"&amp;B23&amp;"-T"&amp;C23&amp;"-第"&amp;IF(D23="",1,D23)&amp;"次","")</x:f>
      </x:c>
      <x:c r="L23" s="116" t="str">
        <x:f>IF(E23&lt;&gt;"",E23,"")</x:f>
      </x:c>
      <x:c r="M23" s="116" t="str">
        <x:f>IF(F23&lt;&gt;"",F23,"")</x:f>
      </x:c>
      <x:c r="N23" s="116" t="str">
        <x:f>IF(G23&lt;&gt;"",G23,"")</x:f>
      </x:c>
    </x:row>
    <x:row r="24">
      <x:c r="A24" s="114" t="str">
        <x:f>IF(OR('练习记录'!$J$24&lt;&gt;"",'练习记录'!$O$24&lt;&gt;""),'练习记录'!$A$24,"")</x:f>
      </x:c>
      <x:c r="B24" s="132" t="str">
        <x:f>IF(OR('练习记录'!$J$24&lt;&gt;"",'练习记录'!$O$24&lt;&gt;""),IFERROR('练习记录'!$B$21,""),"")</x:f>
      </x:c>
      <x:c r="C24" s="132" t="str">
        <x:f>IF(OR('练习记录'!$J$24&lt;&gt;"",'练习记录'!$O$24&lt;&gt;""),'练习记录'!$C$24,"")</x:f>
      </x:c>
      <x:c r="D24" s="132" t="str">
        <x:f>IF(OR('练习记录'!$J$24&lt;&gt;"",'练习记录'!$O$24&lt;&gt;""),'练习记录'!$D$24,"")</x:f>
      </x:c>
      <x:c r="E24" s="116" t="str">
        <x:f>IF('练习记录'!$J$24&lt;&gt;"",'练习记录'!$J$24,"")</x:f>
      </x:c>
      <x:c r="F24" s="116" t="str">
        <x:f>IF('练习记录'!$O$24&lt;&gt;"",'练习记录'!$O$24,"")</x:f>
      </x:c>
      <x:c r="G24" s="116" t="str">
        <x:f>IF('练习记录'!$P$24&lt;&gt;"",'练习记录'!$P$24,"")</x:f>
      </x:c>
      <x:c r="H24" s="116" t="str">
        <x:f>IF('练习记录'!$Q$24&lt;&gt;"",'练习记录'!$Q$24,"")</x:f>
      </x:c>
      <x:c r="I24" s="115" t="n">
        <x:f>'练习记录'!$R$24</x:f>
        <x:v>0</x:v>
      </x:c>
      <x:c r="K24" s="115" t="str">
        <x:f>IF(OR(E24&lt;&gt;"",F24&lt;&gt;""),"剑雅"&amp;B24&amp;"-T"&amp;C24&amp;"-第"&amp;IF(D24="",1,D24)&amp;"次","")</x:f>
      </x:c>
      <x:c r="L24" s="116" t="str">
        <x:f>IF(E24&lt;&gt;"",E24,"")</x:f>
      </x:c>
      <x:c r="M24" s="116" t="str">
        <x:f>IF(F24&lt;&gt;"",F24,"")</x:f>
      </x:c>
      <x:c r="N24" s="116" t="str">
        <x:f>IF(G24&lt;&gt;"",G24,"")</x:f>
      </x:c>
    </x:row>
    <x:row r="25">
      <x:c r="A25" s="114" t="str">
        <x:f>IF(OR('练习记录'!$J$25&lt;&gt;"",'练习记录'!$O$25&lt;&gt;""),'练习记录'!$A$25,"")</x:f>
      </x:c>
      <x:c r="B25" s="132" t="str">
        <x:f>IF(OR('练习记录'!$J$25&lt;&gt;"",'练习记录'!$O$25&lt;&gt;""),IFERROR('练习记录'!$B$25,""),"")</x:f>
      </x:c>
      <x:c r="C25" s="132" t="str">
        <x:f>IF(OR('练习记录'!$J$25&lt;&gt;"",'练习记录'!$O$25&lt;&gt;""),'练习记录'!$C$25,"")</x:f>
      </x:c>
      <x:c r="D25" s="132" t="str">
        <x:f>IF(OR('练习记录'!$J$25&lt;&gt;"",'练习记录'!$O$25&lt;&gt;""),'练习记录'!$D$25,"")</x:f>
      </x:c>
      <x:c r="E25" s="116" t="str">
        <x:f>IF('练习记录'!$J$25&lt;&gt;"",'练习记录'!$J$25,"")</x:f>
      </x:c>
      <x:c r="F25" s="116" t="str">
        <x:f>IF('练习记录'!$O$25&lt;&gt;"",'练习记录'!$O$25,"")</x:f>
      </x:c>
      <x:c r="G25" s="116" t="str">
        <x:f>IF('练习记录'!$P$25&lt;&gt;"",'练习记录'!$P$25,"")</x:f>
      </x:c>
      <x:c r="H25" s="116" t="str">
        <x:f>IF('练习记录'!$Q$25&lt;&gt;"",'练习记录'!$Q$25,"")</x:f>
      </x:c>
      <x:c r="I25" s="115" t="n">
        <x:f>'练习记录'!$R$25</x:f>
        <x:v>0</x:v>
      </x:c>
      <x:c r="K25" s="115" t="str">
        <x:f>IF(OR(E25&lt;&gt;"",F25&lt;&gt;""),"剑雅"&amp;B25&amp;"-T"&amp;C25&amp;"-第"&amp;IF(D25="",1,D25)&amp;"次","")</x:f>
      </x:c>
      <x:c r="L25" s="116" t="str">
        <x:f>IF(E25&lt;&gt;"",E25,"")</x:f>
      </x:c>
      <x:c r="M25" s="116" t="str">
        <x:f>IF(F25&lt;&gt;"",F25,"")</x:f>
      </x:c>
      <x:c r="N25" s="116" t="str">
        <x:f>IF(G25&lt;&gt;"",G25,"")</x:f>
      </x:c>
    </x:row>
    <x:row r="26">
      <x:c r="A26" s="114" t="str">
        <x:f>IF(OR('练习记录'!$J$26&lt;&gt;"",'练习记录'!$O$26&lt;&gt;""),'练习记录'!$A$26,"")</x:f>
      </x:c>
      <x:c r="B26" s="132" t="str">
        <x:f>IF(OR('练习记录'!$J$26&lt;&gt;"",'练习记录'!$O$26&lt;&gt;""),IFERROR('练习记录'!$B$25,""),"")</x:f>
      </x:c>
      <x:c r="C26" s="132" t="str">
        <x:f>IF(OR('练习记录'!$J$26&lt;&gt;"",'练习记录'!$O$26&lt;&gt;""),'练习记录'!$C$26,"")</x:f>
      </x:c>
      <x:c r="D26" s="132" t="str">
        <x:f>IF(OR('练习记录'!$J$26&lt;&gt;"",'练习记录'!$O$26&lt;&gt;""),'练习记录'!$D$26,"")</x:f>
      </x:c>
      <x:c r="E26" s="116" t="str">
        <x:f>IF('练习记录'!$J$26&lt;&gt;"",'练习记录'!$J$26,"")</x:f>
      </x:c>
      <x:c r="F26" s="116" t="str">
        <x:f>IF('练习记录'!$O$26&lt;&gt;"",'练习记录'!$O$26,"")</x:f>
      </x:c>
      <x:c r="G26" s="116" t="str">
        <x:f>IF('练习记录'!$P$26&lt;&gt;"",'练习记录'!$P$26,"")</x:f>
      </x:c>
      <x:c r="H26" s="116" t="str">
        <x:f>IF('练习记录'!$Q$26&lt;&gt;"",'练习记录'!$Q$26,"")</x:f>
      </x:c>
      <x:c r="I26" s="115" t="n">
        <x:f>'练习记录'!$R$26</x:f>
        <x:v>0</x:v>
      </x:c>
      <x:c r="K26" s="115" t="str">
        <x:f>IF(OR(E26&lt;&gt;"",F26&lt;&gt;""),"剑雅"&amp;B26&amp;"-T"&amp;C26&amp;"-第"&amp;IF(D26="",1,D26)&amp;"次","")</x:f>
      </x:c>
      <x:c r="L26" s="116" t="str">
        <x:f>IF(E26&lt;&gt;"",E26,"")</x:f>
      </x:c>
      <x:c r="M26" s="116" t="str">
        <x:f>IF(F26&lt;&gt;"",F26,"")</x:f>
      </x:c>
      <x:c r="N26" s="116" t="str">
        <x:f>IF(G26&lt;&gt;"",G26,"")</x:f>
      </x:c>
    </x:row>
    <x:row r="27">
      <x:c r="A27" s="114" t="str">
        <x:f>IF(OR('练习记录'!$J$27&lt;&gt;"",'练习记录'!$O$27&lt;&gt;""),'练习记录'!$A$27,"")</x:f>
      </x:c>
      <x:c r="B27" s="132" t="str">
        <x:f>IF(OR('练习记录'!$J$27&lt;&gt;"",'练习记录'!$O$27&lt;&gt;""),IFERROR('练习记录'!$B$25,""),"")</x:f>
      </x:c>
      <x:c r="C27" s="132" t="str">
        <x:f>IF(OR('练习记录'!$J$27&lt;&gt;"",'练习记录'!$O$27&lt;&gt;""),'练习记录'!$C$27,"")</x:f>
      </x:c>
      <x:c r="D27" s="132" t="str">
        <x:f>IF(OR('练习记录'!$J$27&lt;&gt;"",'练习记录'!$O$27&lt;&gt;""),'练习记录'!$D$27,"")</x:f>
      </x:c>
      <x:c r="E27" s="116" t="str">
        <x:f>IF('练习记录'!$J$27&lt;&gt;"",'练习记录'!$J$27,"")</x:f>
      </x:c>
      <x:c r="F27" s="116" t="str">
        <x:f>IF('练习记录'!$O$27&lt;&gt;"",'练习记录'!$O$27,"")</x:f>
      </x:c>
      <x:c r="G27" s="116" t="str">
        <x:f>IF('练习记录'!$P$27&lt;&gt;"",'练习记录'!$P$27,"")</x:f>
      </x:c>
      <x:c r="H27" s="116" t="str">
        <x:f>IF('练习记录'!$Q$27&lt;&gt;"",'练习记录'!$Q$27,"")</x:f>
      </x:c>
      <x:c r="I27" s="115" t="n">
        <x:f>'练习记录'!$R$27</x:f>
        <x:v>0</x:v>
      </x:c>
      <x:c r="K27" s="115" t="str">
        <x:f>IF(OR(E27&lt;&gt;"",F27&lt;&gt;""),"剑雅"&amp;B27&amp;"-T"&amp;C27&amp;"-第"&amp;IF(D27="",1,D27)&amp;"次","")</x:f>
      </x:c>
      <x:c r="L27" s="116" t="str">
        <x:f>IF(E27&lt;&gt;"",E27,"")</x:f>
      </x:c>
      <x:c r="M27" s="116" t="str">
        <x:f>IF(F27&lt;&gt;"",F27,"")</x:f>
      </x:c>
      <x:c r="N27" s="116" t="str">
        <x:f>IF(G27&lt;&gt;"",G27,"")</x:f>
      </x:c>
    </x:row>
    <x:row r="28">
      <x:c r="A28" s="114" t="str">
        <x:f>IF(OR('练习记录'!$J$28&lt;&gt;"",'练习记录'!$O$28&lt;&gt;""),'练习记录'!$A$28,"")</x:f>
      </x:c>
      <x:c r="B28" s="132" t="str">
        <x:f>IF(OR('练习记录'!$J$28&lt;&gt;"",'练习记录'!$O$28&lt;&gt;""),IFERROR('练习记录'!$B$25,""),"")</x:f>
      </x:c>
      <x:c r="C28" s="132" t="str">
        <x:f>IF(OR('练习记录'!$J$28&lt;&gt;"",'练习记录'!$O$28&lt;&gt;""),'练习记录'!$C$28,"")</x:f>
      </x:c>
      <x:c r="D28" s="132" t="str">
        <x:f>IF(OR('练习记录'!$J$28&lt;&gt;"",'练习记录'!$O$28&lt;&gt;""),'练习记录'!$D$28,"")</x:f>
      </x:c>
      <x:c r="E28" s="116" t="str">
        <x:f>IF('练习记录'!$J$28&lt;&gt;"",'练习记录'!$J$28,"")</x:f>
      </x:c>
      <x:c r="F28" s="116" t="str">
        <x:f>IF('练习记录'!$O$28&lt;&gt;"",'练习记录'!$O$28,"")</x:f>
      </x:c>
      <x:c r="G28" s="116" t="str">
        <x:f>IF('练习记录'!$P$28&lt;&gt;"",'练习记录'!$P$28,"")</x:f>
      </x:c>
      <x:c r="H28" s="116" t="str">
        <x:f>IF('练习记录'!$Q$28&lt;&gt;"",'练习记录'!$Q$28,"")</x:f>
      </x:c>
      <x:c r="I28" s="115" t="n">
        <x:f>'练习记录'!$R$28</x:f>
        <x:v>0</x:v>
      </x:c>
      <x:c r="K28" s="115" t="str">
        <x:f>IF(OR(E28&lt;&gt;"",F28&lt;&gt;""),"剑雅"&amp;B28&amp;"-T"&amp;C28&amp;"-第"&amp;IF(D28="",1,D28)&amp;"次","")</x:f>
      </x:c>
      <x:c r="L28" s="116" t="str">
        <x:f>IF(E28&lt;&gt;"",E28,"")</x:f>
      </x:c>
      <x:c r="M28" s="116" t="str">
        <x:f>IF(F28&lt;&gt;"",F28,"")</x:f>
      </x:c>
      <x:c r="N28" s="116" t="str">
        <x:f>IF(G28&lt;&gt;"",G28,"")</x:f>
      </x:c>
    </x:row>
    <x:row r="29">
      <x:c r="A29" s="114" t="str">
        <x:f>IF(OR('练习记录'!$J$29&lt;&gt;"",'练习记录'!$O$29&lt;&gt;""),'练习记录'!$A$29,"")</x:f>
      </x:c>
      <x:c r="B29" s="132" t="str">
        <x:f>IF(OR('练习记录'!$J$29&lt;&gt;"",'练习记录'!$O$29&lt;&gt;""),IFERROR('练习记录'!$B$29,""),"")</x:f>
      </x:c>
      <x:c r="C29" s="132" t="str">
        <x:f>IF(OR('练习记录'!$J$29&lt;&gt;"",'练习记录'!$O$29&lt;&gt;""),'练习记录'!$C$29,"")</x:f>
      </x:c>
      <x:c r="D29" s="132" t="str">
        <x:f>IF(OR('练习记录'!$J$29&lt;&gt;"",'练习记录'!$O$29&lt;&gt;""),'练习记录'!$D$29,"")</x:f>
      </x:c>
      <x:c r="E29" s="116" t="str">
        <x:f>IF('练习记录'!$J$29&lt;&gt;"",'练习记录'!$J$29,"")</x:f>
      </x:c>
      <x:c r="F29" s="116" t="str">
        <x:f>IF('练习记录'!$O$29&lt;&gt;"",'练习记录'!$O$29,"")</x:f>
      </x:c>
      <x:c r="G29" s="116" t="str">
        <x:f>IF('练习记录'!$P$29&lt;&gt;"",'练习记录'!$P$29,"")</x:f>
      </x:c>
      <x:c r="H29" s="116" t="str">
        <x:f>IF('练习记录'!$Q$29&lt;&gt;"",'练习记录'!$Q$29,"")</x:f>
      </x:c>
      <x:c r="I29" s="115" t="n">
        <x:f>'练习记录'!$R$29</x:f>
        <x:v>0</x:v>
      </x:c>
      <x:c r="K29" s="115" t="str">
        <x:f>IF(OR(E29&lt;&gt;"",F29&lt;&gt;""),"剑雅"&amp;B29&amp;"-T"&amp;C29&amp;"-第"&amp;IF(D29="",1,D29)&amp;"次","")</x:f>
      </x:c>
      <x:c r="L29" s="116" t="str">
        <x:f>IF(E29&lt;&gt;"",E29,"")</x:f>
      </x:c>
      <x:c r="M29" s="116" t="str">
        <x:f>IF(F29&lt;&gt;"",F29,"")</x:f>
      </x:c>
      <x:c r="N29" s="116" t="str">
        <x:f>IF(G29&lt;&gt;"",G29,"")</x:f>
      </x:c>
    </x:row>
    <x:row r="30">
      <x:c r="A30" s="114" t="str">
        <x:f>IF(OR('练习记录'!$J$30&lt;&gt;"",'练习记录'!$O$30&lt;&gt;""),'练习记录'!$A$30,"")</x:f>
      </x:c>
      <x:c r="B30" s="132" t="str">
        <x:f>IF(OR('练习记录'!$J$30&lt;&gt;"",'练习记录'!$O$30&lt;&gt;""),IFERROR('练习记录'!$B$29,""),"")</x:f>
      </x:c>
      <x:c r="C30" s="132" t="str">
        <x:f>IF(OR('练习记录'!$J$30&lt;&gt;"",'练习记录'!$O$30&lt;&gt;""),'练习记录'!$C$30,"")</x:f>
      </x:c>
      <x:c r="D30" s="132" t="str">
        <x:f>IF(OR('练习记录'!$J$30&lt;&gt;"",'练习记录'!$O$30&lt;&gt;""),'练习记录'!$D$30,"")</x:f>
      </x:c>
      <x:c r="E30" s="116" t="str">
        <x:f>IF('练习记录'!$J$30&lt;&gt;"",'练习记录'!$J$30,"")</x:f>
      </x:c>
      <x:c r="F30" s="116" t="str">
        <x:f>IF('练习记录'!$O$30&lt;&gt;"",'练习记录'!$O$30,"")</x:f>
      </x:c>
      <x:c r="G30" s="116" t="str">
        <x:f>IF('练习记录'!$P$30&lt;&gt;"",'练习记录'!$P$30,"")</x:f>
      </x:c>
      <x:c r="H30" s="116" t="str">
        <x:f>IF('练习记录'!$Q$30&lt;&gt;"",'练习记录'!$Q$30,"")</x:f>
      </x:c>
      <x:c r="I30" s="115" t="n">
        <x:f>'练习记录'!$R$30</x:f>
        <x:v>0</x:v>
      </x:c>
      <x:c r="K30" s="115" t="str">
        <x:f>IF(OR(E30&lt;&gt;"",F30&lt;&gt;""),"剑雅"&amp;B30&amp;"-T"&amp;C30&amp;"-第"&amp;IF(D30="",1,D30)&amp;"次","")</x:f>
      </x:c>
      <x:c r="L30" s="116" t="str">
        <x:f>IF(E30&lt;&gt;"",E30,"")</x:f>
      </x:c>
      <x:c r="M30" s="116" t="str">
        <x:f>IF(F30&lt;&gt;"",F30,"")</x:f>
      </x:c>
      <x:c r="N30" s="116" t="str">
        <x:f>IF(G30&lt;&gt;"",G30,"")</x:f>
      </x:c>
    </x:row>
    <x:row r="31">
      <x:c r="A31" s="114" t="str">
        <x:f>IF(OR('练习记录'!$J$31&lt;&gt;"",'练习记录'!$O$31&lt;&gt;""),'练习记录'!$A$31,"")</x:f>
      </x:c>
      <x:c r="B31" s="132" t="str">
        <x:f>IF(OR('练习记录'!$J$31&lt;&gt;"",'练习记录'!$O$31&lt;&gt;""),IFERROR('练习记录'!$B$29,""),"")</x:f>
      </x:c>
      <x:c r="C31" s="132" t="str">
        <x:f>IF(OR('练习记录'!$J$31&lt;&gt;"",'练习记录'!$O$31&lt;&gt;""),'练习记录'!$C$31,"")</x:f>
      </x:c>
      <x:c r="D31" s="132" t="str">
        <x:f>IF(OR('练习记录'!$J$31&lt;&gt;"",'练习记录'!$O$31&lt;&gt;""),'练习记录'!$D$31,"")</x:f>
      </x:c>
      <x:c r="E31" s="116" t="str">
        <x:f>IF('练习记录'!$J$31&lt;&gt;"",'练习记录'!$J$31,"")</x:f>
      </x:c>
      <x:c r="F31" s="116" t="str">
        <x:f>IF('练习记录'!$O$31&lt;&gt;"",'练习记录'!$O$31,"")</x:f>
      </x:c>
      <x:c r="G31" s="116" t="str">
        <x:f>IF('练习记录'!$P$31&lt;&gt;"",'练习记录'!$P$31,"")</x:f>
      </x:c>
      <x:c r="H31" s="116" t="str">
        <x:f>IF('练习记录'!$Q$31&lt;&gt;"",'练习记录'!$Q$31,"")</x:f>
      </x:c>
      <x:c r="I31" s="115" t="n">
        <x:f>'练习记录'!$R$31</x:f>
        <x:v>0</x:v>
      </x:c>
      <x:c r="K31" s="115" t="str">
        <x:f>IF(OR(E31&lt;&gt;"",F31&lt;&gt;""),"剑雅"&amp;B31&amp;"-T"&amp;C31&amp;"-第"&amp;IF(D31="",1,D31)&amp;"次","")</x:f>
      </x:c>
      <x:c r="L31" s="116" t="str">
        <x:f>IF(E31&lt;&gt;"",E31,"")</x:f>
      </x:c>
      <x:c r="M31" s="116" t="str">
        <x:f>IF(F31&lt;&gt;"",F31,"")</x:f>
      </x:c>
      <x:c r="N31" s="116" t="str">
        <x:f>IF(G31&lt;&gt;"",G31,"")</x:f>
      </x:c>
    </x:row>
    <x:row r="32">
      <x:c r="A32" s="114" t="str">
        <x:f>IF(OR('练习记录'!$J$32&lt;&gt;"",'练习记录'!$O$32&lt;&gt;""),'练习记录'!$A$32,"")</x:f>
      </x:c>
      <x:c r="B32" s="132" t="str">
        <x:f>IF(OR('练习记录'!$J$32&lt;&gt;"",'练习记录'!$O$32&lt;&gt;""),IFERROR('练习记录'!$B$29,""),"")</x:f>
      </x:c>
      <x:c r="C32" s="132" t="str">
        <x:f>IF(OR('练习记录'!$J$32&lt;&gt;"",'练习记录'!$O$32&lt;&gt;""),'练习记录'!$C$32,"")</x:f>
      </x:c>
      <x:c r="D32" s="132" t="str">
        <x:f>IF(OR('练习记录'!$J$32&lt;&gt;"",'练习记录'!$O$32&lt;&gt;""),'练习记录'!$D$32,"")</x:f>
      </x:c>
      <x:c r="E32" s="116" t="str">
        <x:f>IF('练习记录'!$J$32&lt;&gt;"",'练习记录'!$J$32,"")</x:f>
      </x:c>
      <x:c r="F32" s="116" t="str">
        <x:f>IF('练习记录'!$O$32&lt;&gt;"",'练习记录'!$O$32,"")</x:f>
      </x:c>
      <x:c r="G32" s="116" t="str">
        <x:f>IF('练习记录'!$P$32&lt;&gt;"",'练习记录'!$P$32,"")</x:f>
      </x:c>
      <x:c r="H32" s="116" t="str">
        <x:f>IF('练习记录'!$Q$32&lt;&gt;"",'练习记录'!$Q$32,"")</x:f>
      </x:c>
      <x:c r="I32" s="115" t="n">
        <x:f>'练习记录'!$R$32</x:f>
        <x:v>0</x:v>
      </x:c>
      <x:c r="K32" s="115" t="str">
        <x:f>IF(OR(E32&lt;&gt;"",F32&lt;&gt;""),"剑雅"&amp;B32&amp;"-T"&amp;C32&amp;"-第"&amp;IF(D32="",1,D32)&amp;"次","")</x:f>
      </x:c>
      <x:c r="L32" s="116" t="str">
        <x:f>IF(E32&lt;&gt;"",E32,"")</x:f>
      </x:c>
      <x:c r="M32" s="116" t="str">
        <x:f>IF(F32&lt;&gt;"",F32,"")</x:f>
      </x:c>
      <x:c r="N32" s="116" t="str">
        <x:f>IF(G32&lt;&gt;"",G32,"")</x:f>
      </x:c>
    </x:row>
    <x:row r="33">
      <x:c r="A33" s="114" t="str">
        <x:f>IF(OR('练习记录'!$J$33&lt;&gt;"",'练习记录'!$O$33&lt;&gt;""),'练习记录'!$A$33,"")</x:f>
      </x:c>
      <x:c r="B33" s="132" t="str">
        <x:f>IF(OR('练习记录'!$J$33&lt;&gt;"",'练习记录'!$O$33&lt;&gt;""),IFERROR('练习记录'!$B$33,""),"")</x:f>
      </x:c>
      <x:c r="C33" s="132" t="str">
        <x:f>IF(OR('练习记录'!$J$33&lt;&gt;"",'练习记录'!$O$33&lt;&gt;""),'练习记录'!$C$33,"")</x:f>
      </x:c>
      <x:c r="D33" s="132" t="str">
        <x:f>IF(OR('练习记录'!$J$33&lt;&gt;"",'练习记录'!$O$33&lt;&gt;""),'练习记录'!$D$33,"")</x:f>
      </x:c>
      <x:c r="E33" s="116" t="str">
        <x:f>IF('练习记录'!$J$33&lt;&gt;"",'练习记录'!$J$33,"")</x:f>
      </x:c>
      <x:c r="F33" s="116" t="str">
        <x:f>IF('练习记录'!$O$33&lt;&gt;"",'练习记录'!$O$33,"")</x:f>
      </x:c>
      <x:c r="G33" s="116" t="str">
        <x:f>IF('练习记录'!$P$33&lt;&gt;"",'练习记录'!$P$33,"")</x:f>
      </x:c>
      <x:c r="H33" s="116" t="str">
        <x:f>IF('练习记录'!$Q$33&lt;&gt;"",'练习记录'!$Q$33,"")</x:f>
      </x:c>
      <x:c r="I33" s="115" t="n">
        <x:f>'练习记录'!$R$33</x:f>
        <x:v>0</x:v>
      </x:c>
      <x:c r="K33" s="115" t="str">
        <x:f>IF(OR(E33&lt;&gt;"",F33&lt;&gt;""),"剑雅"&amp;B33&amp;"-T"&amp;C33&amp;"-第"&amp;IF(D33="",1,D33)&amp;"次","")</x:f>
      </x:c>
      <x:c r="L33" s="116" t="str">
        <x:f>IF(E33&lt;&gt;"",E33,"")</x:f>
      </x:c>
      <x:c r="M33" s="116" t="str">
        <x:f>IF(F33&lt;&gt;"",F33,"")</x:f>
      </x:c>
      <x:c r="N33" s="116" t="str">
        <x:f>IF(G33&lt;&gt;"",G33,"")</x:f>
      </x:c>
    </x:row>
    <x:row r="34">
      <x:c r="A34" s="114" t="str">
        <x:f>IF(OR('练习记录'!$J$34&lt;&gt;"",'练习记录'!$O$34&lt;&gt;""),'练习记录'!$A$34,"")</x:f>
      </x:c>
      <x:c r="B34" s="132" t="str">
        <x:f>IF(OR('练习记录'!$J$34&lt;&gt;"",'练习记录'!$O$34&lt;&gt;""),IFERROR('练习记录'!$B$33,""),"")</x:f>
      </x:c>
      <x:c r="C34" s="132" t="str">
        <x:f>IF(OR('练习记录'!$J$34&lt;&gt;"",'练习记录'!$O$34&lt;&gt;""),'练习记录'!$C$34,"")</x:f>
      </x:c>
      <x:c r="D34" s="132" t="str">
        <x:f>IF(OR('练习记录'!$J$34&lt;&gt;"",'练习记录'!$O$34&lt;&gt;""),'练习记录'!$D$34,"")</x:f>
      </x:c>
      <x:c r="E34" s="116" t="str">
        <x:f>IF('练习记录'!$J$34&lt;&gt;"",'练习记录'!$J$34,"")</x:f>
      </x:c>
      <x:c r="F34" s="116" t="str">
        <x:f>IF('练习记录'!$O$34&lt;&gt;"",'练习记录'!$O$34,"")</x:f>
      </x:c>
      <x:c r="G34" s="116" t="str">
        <x:f>IF('练习记录'!$P$34&lt;&gt;"",'练习记录'!$P$34,"")</x:f>
      </x:c>
      <x:c r="H34" s="116" t="str">
        <x:f>IF('练习记录'!$Q$34&lt;&gt;"",'练习记录'!$Q$34,"")</x:f>
      </x:c>
      <x:c r="I34" s="115" t="n">
        <x:f>'练习记录'!$R$34</x:f>
        <x:v>0</x:v>
      </x:c>
      <x:c r="K34" s="115" t="str">
        <x:f>IF(OR(E34&lt;&gt;"",F34&lt;&gt;""),"剑雅"&amp;B34&amp;"-T"&amp;C34&amp;"-第"&amp;IF(D34="",1,D34)&amp;"次","")</x:f>
      </x:c>
      <x:c r="L34" s="116" t="str">
        <x:f>IF(E34&lt;&gt;"",E34,"")</x:f>
      </x:c>
      <x:c r="M34" s="116" t="str">
        <x:f>IF(F34&lt;&gt;"",F34,"")</x:f>
      </x:c>
      <x:c r="N34" s="116" t="str">
        <x:f>IF(G34&lt;&gt;"",G34,"")</x:f>
      </x:c>
    </x:row>
    <x:row r="35">
      <x:c r="A35" s="114" t="str">
        <x:f>IF(OR('练习记录'!$J$35&lt;&gt;"",'练习记录'!$O$35&lt;&gt;""),'练习记录'!$A$35,"")</x:f>
      </x:c>
      <x:c r="B35" s="132" t="str">
        <x:f>IF(OR('练习记录'!$J$35&lt;&gt;"",'练习记录'!$O$35&lt;&gt;""),IFERROR('练习记录'!$B$33,""),"")</x:f>
      </x:c>
      <x:c r="C35" s="132" t="str">
        <x:f>IF(OR('练习记录'!$J$35&lt;&gt;"",'练习记录'!$O$35&lt;&gt;""),'练习记录'!$C$35,"")</x:f>
      </x:c>
      <x:c r="D35" s="132" t="str">
        <x:f>IF(OR('练习记录'!$J$35&lt;&gt;"",'练习记录'!$O$35&lt;&gt;""),'练习记录'!$D$35,"")</x:f>
      </x:c>
      <x:c r="E35" s="116" t="str">
        <x:f>IF('练习记录'!$J$35&lt;&gt;"",'练习记录'!$J$35,"")</x:f>
      </x:c>
      <x:c r="F35" s="116" t="str">
        <x:f>IF('练习记录'!$O$35&lt;&gt;"",'练习记录'!$O$35,"")</x:f>
      </x:c>
      <x:c r="G35" s="116" t="str">
        <x:f>IF('练习记录'!$P$35&lt;&gt;"",'练习记录'!$P$35,"")</x:f>
      </x:c>
      <x:c r="H35" s="116" t="str">
        <x:f>IF('练习记录'!$Q$35&lt;&gt;"",'练习记录'!$Q$35,"")</x:f>
      </x:c>
      <x:c r="I35" s="115" t="n">
        <x:f>'练习记录'!$R$35</x:f>
        <x:v>0</x:v>
      </x:c>
      <x:c r="K35" s="115" t="str">
        <x:f>IF(OR(E35&lt;&gt;"",F35&lt;&gt;""),"剑雅"&amp;B35&amp;"-T"&amp;C35&amp;"-第"&amp;IF(D35="",1,D35)&amp;"次","")</x:f>
      </x:c>
      <x:c r="L35" s="116" t="str">
        <x:f>IF(E35&lt;&gt;"",E35,"")</x:f>
      </x:c>
      <x:c r="M35" s="116" t="str">
        <x:f>IF(F35&lt;&gt;"",F35,"")</x:f>
      </x:c>
      <x:c r="N35" s="116" t="str">
        <x:f>IF(G35&lt;&gt;"",G35,"")</x:f>
      </x:c>
    </x:row>
    <x:row r="36">
      <x:c r="A36" s="114" t="str">
        <x:f>IF(OR('练习记录'!$J$36&lt;&gt;"",'练习记录'!$O$36&lt;&gt;""),'练习记录'!$A$36,"")</x:f>
      </x:c>
      <x:c r="B36" s="132" t="str">
        <x:f>IF(OR('练习记录'!$J$36&lt;&gt;"",'练习记录'!$O$36&lt;&gt;""),IFERROR('练习记录'!$B$33,""),"")</x:f>
      </x:c>
      <x:c r="C36" s="132" t="str">
        <x:f>IF(OR('练习记录'!$J$36&lt;&gt;"",'练习记录'!$O$36&lt;&gt;""),'练习记录'!$C$36,"")</x:f>
      </x:c>
      <x:c r="D36" s="132" t="str">
        <x:f>IF(OR('练习记录'!$J$36&lt;&gt;"",'练习记录'!$O$36&lt;&gt;""),'练习记录'!$D$36,"")</x:f>
      </x:c>
      <x:c r="E36" s="116" t="str">
        <x:f>IF('练习记录'!$J$36&lt;&gt;"",'练习记录'!$J$36,"")</x:f>
      </x:c>
      <x:c r="F36" s="116" t="str">
        <x:f>IF('练习记录'!$O$36&lt;&gt;"",'练习记录'!$O$36,"")</x:f>
      </x:c>
      <x:c r="G36" s="116" t="str">
        <x:f>IF('练习记录'!$P$36&lt;&gt;"",'练习记录'!$P$36,"")</x:f>
      </x:c>
      <x:c r="H36" s="116" t="str">
        <x:f>IF('练习记录'!$Q$36&lt;&gt;"",'练习记录'!$Q$36,"")</x:f>
      </x:c>
      <x:c r="I36" s="115" t="n">
        <x:f>'练习记录'!$R$36</x:f>
        <x:v>0</x:v>
      </x:c>
      <x:c r="K36" s="115" t="str">
        <x:f>IF(OR(E36&lt;&gt;"",F36&lt;&gt;""),"剑雅"&amp;B36&amp;"-T"&amp;C36&amp;"-第"&amp;IF(D36="",1,D36)&amp;"次","")</x:f>
      </x:c>
      <x:c r="L36" s="116" t="str">
        <x:f>IF(E36&lt;&gt;"",E36,"")</x:f>
      </x:c>
      <x:c r="M36" s="116" t="str">
        <x:f>IF(F36&lt;&gt;"",F36,"")</x:f>
      </x:c>
      <x:c r="N36" s="116" t="str">
        <x:f>IF(G36&lt;&gt;"",G36,"")</x:f>
      </x:c>
    </x:row>
    <x:row r="37">
      <x:c r="A37" s="114" t="str">
        <x:f>IF(OR('练习记录'!$J$37&lt;&gt;"",'练习记录'!$O$37&lt;&gt;""),'练习记录'!$A$37,"")</x:f>
      </x:c>
      <x:c r="B37" s="132" t="str">
        <x:f>IF(OR('练习记录'!$J$37&lt;&gt;"",'练习记录'!$O$37&lt;&gt;""),IFERROR('练习记录'!$B$37,""),"")</x:f>
      </x:c>
      <x:c r="C37" s="132" t="str">
        <x:f>IF(OR('练习记录'!$J$37&lt;&gt;"",'练习记录'!$O$37&lt;&gt;""),'练习记录'!$C$37,"")</x:f>
      </x:c>
      <x:c r="D37" s="132" t="str">
        <x:f>IF(OR('练习记录'!$J$37&lt;&gt;"",'练习记录'!$O$37&lt;&gt;""),'练习记录'!$D$37,"")</x:f>
      </x:c>
      <x:c r="E37" s="116" t="str">
        <x:f>IF('练习记录'!$J$37&lt;&gt;"",'练习记录'!$J$37,"")</x:f>
      </x:c>
      <x:c r="F37" s="116" t="str">
        <x:f>IF('练习记录'!$O$37&lt;&gt;"",'练习记录'!$O$37,"")</x:f>
      </x:c>
      <x:c r="G37" s="116" t="str">
        <x:f>IF('练习记录'!$P$37&lt;&gt;"",'练习记录'!$P$37,"")</x:f>
      </x:c>
      <x:c r="H37" s="116" t="str">
        <x:f>IF('练习记录'!$Q$37&lt;&gt;"",'练习记录'!$Q$37,"")</x:f>
      </x:c>
      <x:c r="I37" s="115" t="n">
        <x:f>'练习记录'!$R$37</x:f>
        <x:v>0</x:v>
      </x:c>
      <x:c r="K37" s="115" t="str">
        <x:f>IF(OR(E37&lt;&gt;"",F37&lt;&gt;""),"剑雅"&amp;B37&amp;"-T"&amp;C37&amp;"-第"&amp;IF(D37="",1,D37)&amp;"次","")</x:f>
      </x:c>
      <x:c r="L37" s="116" t="str">
        <x:f>IF(E37&lt;&gt;"",E37,"")</x:f>
      </x:c>
      <x:c r="M37" s="116" t="str">
        <x:f>IF(F37&lt;&gt;"",F37,"")</x:f>
      </x:c>
      <x:c r="N37" s="116" t="str">
        <x:f>IF(G37&lt;&gt;"",G37,"")</x:f>
      </x:c>
    </x:row>
    <x:row r="38">
      <x:c r="A38" s="114" t="str">
        <x:f>IF(OR('练习记录'!$J$38&lt;&gt;"",'练习记录'!$O$38&lt;&gt;""),'练习记录'!$A$38,"")</x:f>
      </x:c>
      <x:c r="B38" s="132" t="str">
        <x:f>IF(OR('练习记录'!$J$38&lt;&gt;"",'练习记录'!$O$38&lt;&gt;""),IFERROR('练习记录'!$B$37,""),"")</x:f>
      </x:c>
      <x:c r="C38" s="132" t="str">
        <x:f>IF(OR('练习记录'!$J$38&lt;&gt;"",'练习记录'!$O$38&lt;&gt;""),'练习记录'!$C$38,"")</x:f>
      </x:c>
      <x:c r="D38" s="132" t="str">
        <x:f>IF(OR('练习记录'!$J$38&lt;&gt;"",'练习记录'!$O$38&lt;&gt;""),'练习记录'!$D$38,"")</x:f>
      </x:c>
      <x:c r="E38" s="116" t="str">
        <x:f>IF('练习记录'!$J$38&lt;&gt;"",'练习记录'!$J$38,"")</x:f>
      </x:c>
      <x:c r="F38" s="116" t="str">
        <x:f>IF('练习记录'!$O$38&lt;&gt;"",'练习记录'!$O$38,"")</x:f>
      </x:c>
      <x:c r="G38" s="116" t="str">
        <x:f>IF('练习记录'!$P$38&lt;&gt;"",'练习记录'!$P$38,"")</x:f>
      </x:c>
      <x:c r="H38" s="116" t="str">
        <x:f>IF('练习记录'!$Q$38&lt;&gt;"",'练习记录'!$Q$38,"")</x:f>
      </x:c>
      <x:c r="I38" s="115" t="n">
        <x:f>'练习记录'!$R$38</x:f>
        <x:v>0</x:v>
      </x:c>
      <x:c r="K38" s="115" t="str">
        <x:f>IF(OR(E38&lt;&gt;"",F38&lt;&gt;""),"剑雅"&amp;B38&amp;"-T"&amp;C38&amp;"-第"&amp;IF(D38="",1,D38)&amp;"次","")</x:f>
      </x:c>
      <x:c r="L38" s="116" t="str">
        <x:f>IF(E38&lt;&gt;"",E38,"")</x:f>
      </x:c>
      <x:c r="M38" s="116" t="str">
        <x:f>IF(F38&lt;&gt;"",F38,"")</x:f>
      </x:c>
      <x:c r="N38" s="116" t="str">
        <x:f>IF(G38&lt;&gt;"",G38,"")</x:f>
      </x:c>
    </x:row>
    <x:row r="39">
      <x:c r="A39" s="114" t="str">
        <x:f>IF(OR('练习记录'!$J$39&lt;&gt;"",'练习记录'!$O$39&lt;&gt;""),'练习记录'!$A$39,"")</x:f>
      </x:c>
      <x:c r="B39" s="132" t="str">
        <x:f>IF(OR('练习记录'!$J$39&lt;&gt;"",'练习记录'!$O$39&lt;&gt;""),IFERROR('练习记录'!$B$37,""),"")</x:f>
      </x:c>
      <x:c r="C39" s="132" t="str">
        <x:f>IF(OR('练习记录'!$J$39&lt;&gt;"",'练习记录'!$O$39&lt;&gt;""),'练习记录'!$C$39,"")</x:f>
      </x:c>
      <x:c r="D39" s="132" t="str">
        <x:f>IF(OR('练习记录'!$J$39&lt;&gt;"",'练习记录'!$O$39&lt;&gt;""),'练习记录'!$D$39,"")</x:f>
      </x:c>
      <x:c r="E39" s="116" t="str">
        <x:f>IF('练习记录'!$J$39&lt;&gt;"",'练习记录'!$J$39,"")</x:f>
      </x:c>
      <x:c r="F39" s="116" t="str">
        <x:f>IF('练习记录'!$O$39&lt;&gt;"",'练习记录'!$O$39,"")</x:f>
      </x:c>
      <x:c r="G39" s="116" t="str">
        <x:f>IF('练习记录'!$P$39&lt;&gt;"",'练习记录'!$P$39,"")</x:f>
      </x:c>
      <x:c r="H39" s="116" t="str">
        <x:f>IF('练习记录'!$Q$39&lt;&gt;"",'练习记录'!$Q$39,"")</x:f>
      </x:c>
      <x:c r="I39" s="115" t="n">
        <x:f>'练习记录'!$R$39</x:f>
        <x:v>0</x:v>
      </x:c>
      <x:c r="K39" s="115" t="str">
        <x:f>IF(OR(E39&lt;&gt;"",F39&lt;&gt;""),"剑雅"&amp;B39&amp;"-T"&amp;C39&amp;"-第"&amp;IF(D39="",1,D39)&amp;"次","")</x:f>
      </x:c>
      <x:c r="L39" s="116" t="str">
        <x:f>IF(E39&lt;&gt;"",E39,"")</x:f>
      </x:c>
      <x:c r="M39" s="116" t="str">
        <x:f>IF(F39&lt;&gt;"",F39,"")</x:f>
      </x:c>
      <x:c r="N39" s="116" t="str">
        <x:f>IF(G39&lt;&gt;"",G39,"")</x:f>
      </x:c>
    </x:row>
    <x:row r="40">
      <x:c r="A40" s="114" t="str">
        <x:f>IF(OR('练习记录'!$J$40&lt;&gt;"",'练习记录'!$O$40&lt;&gt;""),'练习记录'!$A$40,"")</x:f>
      </x:c>
      <x:c r="B40" s="132" t="str">
        <x:f>IF(OR('练习记录'!$J$40&lt;&gt;"",'练习记录'!$O$40&lt;&gt;""),IFERROR('练习记录'!$B$37,""),"")</x:f>
      </x:c>
      <x:c r="C40" s="132" t="str">
        <x:f>IF(OR('练习记录'!$J$40&lt;&gt;"",'练习记录'!$O$40&lt;&gt;""),'练习记录'!$C$40,"")</x:f>
      </x:c>
      <x:c r="D40" s="132" t="str">
        <x:f>IF(OR('练习记录'!$J$40&lt;&gt;"",'练习记录'!$O$40&lt;&gt;""),'练习记录'!$D$40,"")</x:f>
      </x:c>
      <x:c r="E40" s="116" t="str">
        <x:f>IF('练习记录'!$J$40&lt;&gt;"",'练习记录'!$J$40,"")</x:f>
      </x:c>
      <x:c r="F40" s="116" t="str">
        <x:f>IF('练习记录'!$O$40&lt;&gt;"",'练习记录'!$O$40,"")</x:f>
      </x:c>
      <x:c r="G40" s="116" t="str">
        <x:f>IF('练习记录'!$P$40&lt;&gt;"",'练习记录'!$P$40,"")</x:f>
      </x:c>
      <x:c r="H40" s="116" t="str">
        <x:f>IF('练习记录'!$Q$40&lt;&gt;"",'练习记录'!$Q$40,"")</x:f>
      </x:c>
      <x:c r="I40" s="115" t="n">
        <x:f>'练习记录'!$R$40</x:f>
        <x:v>0</x:v>
      </x:c>
      <x:c r="K40" s="115" t="str">
        <x:f>IF(OR(E40&lt;&gt;"",F40&lt;&gt;""),"剑雅"&amp;B40&amp;"-T"&amp;C40&amp;"-第"&amp;IF(D40="",1,D40)&amp;"次","")</x:f>
      </x:c>
      <x:c r="L40" s="116" t="str">
        <x:f>IF(E40&lt;&gt;"",E40,"")</x:f>
      </x:c>
      <x:c r="M40" s="116" t="str">
        <x:f>IF(F40&lt;&gt;"",F40,"")</x:f>
      </x:c>
      <x:c r="N40" s="116" t="str">
        <x:f>IF(G40&lt;&gt;"",G40,"")</x:f>
      </x:c>
    </x:row>
    <x:row r="41">
      <x:c r="A41" s="114" t="str">
        <x:f>IF(OR('练习记录'!$J$41&lt;&gt;"",'练习记录'!$O$41&lt;&gt;""),'练习记录'!$A$41,"")</x:f>
      </x:c>
      <x:c r="B41" s="132" t="str">
        <x:f>IF(OR('练习记录'!$J$41&lt;&gt;"",'练习记录'!$O$41&lt;&gt;""),IFERROR('练习记录'!$B$41,""),"")</x:f>
      </x:c>
      <x:c r="C41" s="132" t="str">
        <x:f>IF(OR('练习记录'!$J$41&lt;&gt;"",'练习记录'!$O$41&lt;&gt;""),'练习记录'!$C$41,"")</x:f>
      </x:c>
      <x:c r="D41" s="132" t="str">
        <x:f>IF(OR('练习记录'!$J$41&lt;&gt;"",'练习记录'!$O$41&lt;&gt;""),'练习记录'!$D$41,"")</x:f>
      </x:c>
      <x:c r="E41" s="116" t="str">
        <x:f>IF('练习记录'!$J$41&lt;&gt;"",'练习记录'!$J$41,"")</x:f>
      </x:c>
      <x:c r="F41" s="116" t="str">
        <x:f>IF('练习记录'!$O$41&lt;&gt;"",'练习记录'!$O$41,"")</x:f>
      </x:c>
      <x:c r="G41" s="116" t="str">
        <x:f>IF('练习记录'!$P$41&lt;&gt;"",'练习记录'!$P$41,"")</x:f>
      </x:c>
      <x:c r="H41" s="116" t="str">
        <x:f>IF('练习记录'!$Q$41&lt;&gt;"",'练习记录'!$Q$41,"")</x:f>
      </x:c>
      <x:c r="I41" s="115" t="n">
        <x:f>'练习记录'!$R$41</x:f>
        <x:v>0</x:v>
      </x:c>
      <x:c r="K41" s="115" t="str">
        <x:f>IF(OR(E41&lt;&gt;"",F41&lt;&gt;""),"剑雅"&amp;B41&amp;"-T"&amp;C41&amp;"-第"&amp;IF(D41="",1,D41)&amp;"次","")</x:f>
      </x:c>
      <x:c r="L41" s="116" t="str">
        <x:f>IF(E41&lt;&gt;"",E41,"")</x:f>
      </x:c>
      <x:c r="M41" s="116" t="str">
        <x:f>IF(F41&lt;&gt;"",F41,"")</x:f>
      </x:c>
      <x:c r="N41" s="116" t="str">
        <x:f>IF(G41&lt;&gt;"",G41,"")</x:f>
      </x:c>
    </x:row>
    <x:row r="42">
      <x:c r="A42" s="114" t="str">
        <x:f>IF(OR('练习记录'!$J$42&lt;&gt;"",'练习记录'!$O$42&lt;&gt;""),'练习记录'!$A$42,"")</x:f>
      </x:c>
      <x:c r="B42" s="132" t="str">
        <x:f>IF(OR('练习记录'!$J$42&lt;&gt;"",'练习记录'!$O$42&lt;&gt;""),IFERROR('练习记录'!$B$41,""),"")</x:f>
      </x:c>
      <x:c r="C42" s="132" t="str">
        <x:f>IF(OR('练习记录'!$J$42&lt;&gt;"",'练习记录'!$O$42&lt;&gt;""),'练习记录'!$C$42,"")</x:f>
      </x:c>
      <x:c r="D42" s="132" t="str">
        <x:f>IF(OR('练习记录'!$J$42&lt;&gt;"",'练习记录'!$O$42&lt;&gt;""),'练习记录'!$D$42,"")</x:f>
      </x:c>
      <x:c r="E42" s="116" t="str">
        <x:f>IF('练习记录'!$J$42&lt;&gt;"",'练习记录'!$J$42,"")</x:f>
      </x:c>
      <x:c r="F42" s="116" t="str">
        <x:f>IF('练习记录'!$O$42&lt;&gt;"",'练习记录'!$O$42,"")</x:f>
      </x:c>
      <x:c r="G42" s="116" t="str">
        <x:f>IF('练习记录'!$P$42&lt;&gt;"",'练习记录'!$P$42,"")</x:f>
      </x:c>
      <x:c r="H42" s="116" t="str">
        <x:f>IF('练习记录'!$Q$42&lt;&gt;"",'练习记录'!$Q$42,"")</x:f>
      </x:c>
      <x:c r="I42" s="115" t="n">
        <x:f>'练习记录'!$R$42</x:f>
        <x:v>0</x:v>
      </x:c>
      <x:c r="K42" s="115" t="str">
        <x:f>IF(OR(E42&lt;&gt;"",F42&lt;&gt;""),"剑雅"&amp;B42&amp;"-T"&amp;C42&amp;"-第"&amp;IF(D42="",1,D42)&amp;"次","")</x:f>
      </x:c>
      <x:c r="L42" s="116" t="str">
        <x:f>IF(E42&lt;&gt;"",E42,"")</x:f>
      </x:c>
      <x:c r="M42" s="116" t="str">
        <x:f>IF(F42&lt;&gt;"",F42,"")</x:f>
      </x:c>
      <x:c r="N42" s="116" t="str">
        <x:f>IF(G42&lt;&gt;"",G42,"")</x:f>
      </x:c>
    </x:row>
    <x:row r="43">
      <x:c r="A43" s="114" t="str">
        <x:f>IF(OR('练习记录'!$J$43&lt;&gt;"",'练习记录'!$O$43&lt;&gt;""),'练习记录'!$A$43,"")</x:f>
      </x:c>
      <x:c r="B43" s="132" t="str">
        <x:f>IF(OR('练习记录'!$J$43&lt;&gt;"",'练习记录'!$O$43&lt;&gt;""),IFERROR('练习记录'!$B$41,""),"")</x:f>
      </x:c>
      <x:c r="C43" s="132" t="str">
        <x:f>IF(OR('练习记录'!$J$43&lt;&gt;"",'练习记录'!$O$43&lt;&gt;""),'练习记录'!$C$43,"")</x:f>
      </x:c>
      <x:c r="D43" s="132" t="str">
        <x:f>IF(OR('练习记录'!$J$43&lt;&gt;"",'练习记录'!$O$43&lt;&gt;""),'练习记录'!$D$43,"")</x:f>
      </x:c>
      <x:c r="E43" s="116" t="str">
        <x:f>IF('练习记录'!$J$43&lt;&gt;"",'练习记录'!$J$43,"")</x:f>
      </x:c>
      <x:c r="F43" s="116" t="str">
        <x:f>IF('练习记录'!$O$43&lt;&gt;"",'练习记录'!$O$43,"")</x:f>
      </x:c>
      <x:c r="G43" s="116" t="str">
        <x:f>IF('练习记录'!$P$43&lt;&gt;"",'练习记录'!$P$43,"")</x:f>
      </x:c>
      <x:c r="H43" s="116" t="str">
        <x:f>IF('练习记录'!$Q$43&lt;&gt;"",'练习记录'!$Q$43,"")</x:f>
      </x:c>
      <x:c r="I43" s="115" t="n">
        <x:f>'练习记录'!$R$43</x:f>
        <x:v>0</x:v>
      </x:c>
      <x:c r="K43" s="115" t="str">
        <x:f>IF(OR(E43&lt;&gt;"",F43&lt;&gt;""),"剑雅"&amp;B43&amp;"-T"&amp;C43&amp;"-第"&amp;IF(D43="",1,D43)&amp;"次","")</x:f>
      </x:c>
      <x:c r="L43" s="116" t="str">
        <x:f>IF(E43&lt;&gt;"",E43,"")</x:f>
      </x:c>
      <x:c r="M43" s="116" t="str">
        <x:f>IF(F43&lt;&gt;"",F43,"")</x:f>
      </x:c>
      <x:c r="N43" s="116" t="str">
        <x:f>IF(G43&lt;&gt;"",G43,"")</x:f>
      </x:c>
    </x:row>
    <x:row r="44">
      <x:c r="A44" s="114" t="str">
        <x:f>IF(OR('练习记录'!$J$44&lt;&gt;"",'练习记录'!$O$44&lt;&gt;""),'练习记录'!$A$44,"")</x:f>
      </x:c>
      <x:c r="B44" s="132" t="str">
        <x:f>IF(OR('练习记录'!$J$44&lt;&gt;"",'练习记录'!$O$44&lt;&gt;""),IFERROR('练习记录'!$B$41,""),"")</x:f>
      </x:c>
      <x:c r="C44" s="132" t="str">
        <x:f>IF(OR('练习记录'!$J$44&lt;&gt;"",'练习记录'!$O$44&lt;&gt;""),'练习记录'!$C$44,"")</x:f>
      </x:c>
      <x:c r="D44" s="132" t="str">
        <x:f>IF(OR('练习记录'!$J$44&lt;&gt;"",'练习记录'!$O$44&lt;&gt;""),'练习记录'!$D$44,"")</x:f>
      </x:c>
      <x:c r="E44" s="116" t="str">
        <x:f>IF('练习记录'!$J$44&lt;&gt;"",'练习记录'!$J$44,"")</x:f>
      </x:c>
      <x:c r="F44" s="116" t="str">
        <x:f>IF('练习记录'!$O$44&lt;&gt;"",'练习记录'!$O$44,"")</x:f>
      </x:c>
      <x:c r="G44" s="116" t="str">
        <x:f>IF('练习记录'!$P$44&lt;&gt;"",'练习记录'!$P$44,"")</x:f>
      </x:c>
      <x:c r="H44" s="116" t="str">
        <x:f>IF('练习记录'!$Q$44&lt;&gt;"",'练习记录'!$Q$44,"")</x:f>
      </x:c>
      <x:c r="I44" s="115" t="n">
        <x:f>'练习记录'!$R$44</x:f>
        <x:v>0</x:v>
      </x:c>
      <x:c r="K44" s="115" t="str">
        <x:f>IF(OR(E44&lt;&gt;"",F44&lt;&gt;""),"剑雅"&amp;B44&amp;"-T"&amp;C44&amp;"-第"&amp;IF(D44="",1,D44)&amp;"次","")</x:f>
      </x:c>
      <x:c r="L44" s="116" t="str">
        <x:f>IF(E44&lt;&gt;"",E44,"")</x:f>
      </x:c>
      <x:c r="M44" s="116" t="str">
        <x:f>IF(F44&lt;&gt;"",F44,"")</x:f>
      </x:c>
      <x:c r="N44" s="116" t="str">
        <x:f>IF(G44&lt;&gt;"",G44,"")</x:f>
      </x:c>
    </x:row>
    <x:row r="45">
      <x:c r="A45" s="114" t="str">
        <x:f>IF(OR('练习记录'!$J$45&lt;&gt;"",'练习记录'!$O$45&lt;&gt;""),'练习记录'!$A$45,"")</x:f>
      </x:c>
      <x:c r="B45" s="132" t="str">
        <x:f>IF(OR('练习记录'!$J$45&lt;&gt;"",'练习记录'!$O$45&lt;&gt;""),IFERROR('练习记录'!$B$45,""),"")</x:f>
      </x:c>
      <x:c r="C45" s="132" t="str">
        <x:f>IF(OR('练习记录'!$J$45&lt;&gt;"",'练习记录'!$O$45&lt;&gt;""),'练习记录'!$C$45,"")</x:f>
      </x:c>
      <x:c r="D45" s="132" t="str">
        <x:f>IF(OR('练习记录'!$J$45&lt;&gt;"",'练习记录'!$O$45&lt;&gt;""),'练习记录'!$D$45,"")</x:f>
      </x:c>
      <x:c r="E45" s="116" t="str">
        <x:f>IF('练习记录'!$J$45&lt;&gt;"",'练习记录'!$J$45,"")</x:f>
      </x:c>
      <x:c r="F45" s="116" t="str">
        <x:f>IF('练习记录'!$O$45&lt;&gt;"",'练习记录'!$O$45,"")</x:f>
      </x:c>
      <x:c r="G45" s="116" t="str">
        <x:f>IF('练习记录'!$P$45&lt;&gt;"",'练习记录'!$P$45,"")</x:f>
      </x:c>
      <x:c r="H45" s="116" t="str">
        <x:f>IF('练习记录'!$Q$45&lt;&gt;"",'练习记录'!$Q$45,"")</x:f>
      </x:c>
      <x:c r="I45" s="115" t="n">
        <x:f>'练习记录'!$R$45</x:f>
        <x:v>0</x:v>
      </x:c>
      <x:c r="K45" s="115" t="str">
        <x:f>IF(OR(E45&lt;&gt;"",F45&lt;&gt;""),"剑雅"&amp;B45&amp;"-T"&amp;C45&amp;"-第"&amp;IF(D45="",1,D45)&amp;"次","")</x:f>
      </x:c>
      <x:c r="L45" s="116" t="str">
        <x:f>IF(E45&lt;&gt;"",E45,"")</x:f>
      </x:c>
      <x:c r="M45" s="116" t="str">
        <x:f>IF(F45&lt;&gt;"",F45,"")</x:f>
      </x:c>
      <x:c r="N45" s="116" t="str">
        <x:f>IF(G45&lt;&gt;"",G45,"")</x:f>
      </x:c>
    </x:row>
    <x:row r="46">
      <x:c r="A46" s="114" t="str">
        <x:f>IF(OR('练习记录'!$J$46&lt;&gt;"",'练习记录'!$O$46&lt;&gt;""),'练习记录'!$A$46,"")</x:f>
      </x:c>
      <x:c r="B46" s="132" t="str">
        <x:f>IF(OR('练习记录'!$J$46&lt;&gt;"",'练习记录'!$O$46&lt;&gt;""),IFERROR('练习记录'!$B$45,""),"")</x:f>
      </x:c>
      <x:c r="C46" s="132" t="str">
        <x:f>IF(OR('练习记录'!$J$46&lt;&gt;"",'练习记录'!$O$46&lt;&gt;""),'练习记录'!$C$46,"")</x:f>
      </x:c>
      <x:c r="D46" s="132" t="str">
        <x:f>IF(OR('练习记录'!$J$46&lt;&gt;"",'练习记录'!$O$46&lt;&gt;""),'练习记录'!$D$46,"")</x:f>
      </x:c>
      <x:c r="E46" s="116" t="str">
        <x:f>IF('练习记录'!$J$46&lt;&gt;"",'练习记录'!$J$46,"")</x:f>
      </x:c>
      <x:c r="F46" s="116" t="str">
        <x:f>IF('练习记录'!$O$46&lt;&gt;"",'练习记录'!$O$46,"")</x:f>
      </x:c>
      <x:c r="G46" s="116" t="str">
        <x:f>IF('练习记录'!$P$46&lt;&gt;"",'练习记录'!$P$46,"")</x:f>
      </x:c>
      <x:c r="H46" s="116" t="str">
        <x:f>IF('练习记录'!$Q$46&lt;&gt;"",'练习记录'!$Q$46,"")</x:f>
      </x:c>
      <x:c r="I46" s="115" t="n">
        <x:f>'练习记录'!$R$46</x:f>
        <x:v>0</x:v>
      </x:c>
      <x:c r="K46" s="115" t="str">
        <x:f>IF(OR(E46&lt;&gt;"",F46&lt;&gt;""),"剑雅"&amp;B46&amp;"-T"&amp;C46&amp;"-第"&amp;IF(D46="",1,D46)&amp;"次","")</x:f>
      </x:c>
      <x:c r="L46" s="116" t="str">
        <x:f>IF(E46&lt;&gt;"",E46,"")</x:f>
      </x:c>
      <x:c r="M46" s="116" t="str">
        <x:f>IF(F46&lt;&gt;"",F46,"")</x:f>
      </x:c>
      <x:c r="N46" s="116" t="str">
        <x:f>IF(G46&lt;&gt;"",G46,"")</x:f>
      </x:c>
    </x:row>
    <x:row r="47">
      <x:c r="A47" s="114" t="str">
        <x:f>IF(OR('练习记录'!$J$47&lt;&gt;"",'练习记录'!$O$47&lt;&gt;""),'练习记录'!$A$47,"")</x:f>
      </x:c>
      <x:c r="B47" s="132" t="str">
        <x:f>IF(OR('练习记录'!$J$47&lt;&gt;"",'练习记录'!$O$47&lt;&gt;""),IFERROR('练习记录'!$B$45,""),"")</x:f>
      </x:c>
      <x:c r="C47" s="132" t="str">
        <x:f>IF(OR('练习记录'!$J$47&lt;&gt;"",'练习记录'!$O$47&lt;&gt;""),'练习记录'!$C$47,"")</x:f>
      </x:c>
      <x:c r="D47" s="132" t="str">
        <x:f>IF(OR('练习记录'!$J$47&lt;&gt;"",'练习记录'!$O$47&lt;&gt;""),'练习记录'!$D$47,"")</x:f>
      </x:c>
      <x:c r="E47" s="116" t="str">
        <x:f>IF('练习记录'!$J$47&lt;&gt;"",'练习记录'!$J$47,"")</x:f>
      </x:c>
      <x:c r="F47" s="116" t="str">
        <x:f>IF('练习记录'!$O$47&lt;&gt;"",'练习记录'!$O$47,"")</x:f>
      </x:c>
      <x:c r="G47" s="116" t="str">
        <x:f>IF('练习记录'!$P$47&lt;&gt;"",'练习记录'!$P$47,"")</x:f>
      </x:c>
      <x:c r="H47" s="116" t="str">
        <x:f>IF('练习记录'!$Q$47&lt;&gt;"",'练习记录'!$Q$47,"")</x:f>
      </x:c>
      <x:c r="I47" s="115" t="n">
        <x:f>'练习记录'!$R$47</x:f>
        <x:v>0</x:v>
      </x:c>
      <x:c r="K47" s="115" t="str">
        <x:f>IF(OR(E47&lt;&gt;"",F47&lt;&gt;""),"剑雅"&amp;B47&amp;"-T"&amp;C47&amp;"-第"&amp;IF(D47="",1,D47)&amp;"次","")</x:f>
      </x:c>
      <x:c r="L47" s="116" t="str">
        <x:f>IF(E47&lt;&gt;"",E47,"")</x:f>
      </x:c>
      <x:c r="M47" s="116" t="str">
        <x:f>IF(F47&lt;&gt;"",F47,"")</x:f>
      </x:c>
      <x:c r="N47" s="116" t="str">
        <x:f>IF(G47&lt;&gt;"",G47,"")</x:f>
      </x:c>
    </x:row>
    <x:row r="48">
      <x:c r="A48" s="114" t="str">
        <x:f>IF(OR('练习记录'!$J$48&lt;&gt;"",'练习记录'!$O$48&lt;&gt;""),'练习记录'!$A$48,"")</x:f>
      </x:c>
      <x:c r="B48" s="132" t="str">
        <x:f>IF(OR('练习记录'!$J$48&lt;&gt;"",'练习记录'!$O$48&lt;&gt;""),IFERROR('练习记录'!$B$45,""),"")</x:f>
      </x:c>
      <x:c r="C48" s="132" t="str">
        <x:f>IF(OR('练习记录'!$J$48&lt;&gt;"",'练习记录'!$O$48&lt;&gt;""),'练习记录'!$C$48,"")</x:f>
      </x:c>
      <x:c r="D48" s="132" t="str">
        <x:f>IF(OR('练习记录'!$J$48&lt;&gt;"",'练习记录'!$O$48&lt;&gt;""),'练习记录'!$D$48,"")</x:f>
      </x:c>
      <x:c r="E48" s="116" t="str">
        <x:f>IF('练习记录'!$J$48&lt;&gt;"",'练习记录'!$J$48,"")</x:f>
      </x:c>
      <x:c r="F48" s="116" t="str">
        <x:f>IF('练习记录'!$O$48&lt;&gt;"",'练习记录'!$O$48,"")</x:f>
      </x:c>
      <x:c r="G48" s="116" t="str">
        <x:f>IF('练习记录'!$P$48&lt;&gt;"",'练习记录'!$P$48,"")</x:f>
      </x:c>
      <x:c r="H48" s="116" t="str">
        <x:f>IF('练习记录'!$Q$48&lt;&gt;"",'练习记录'!$Q$48,"")</x:f>
      </x:c>
      <x:c r="I48" s="115" t="n">
        <x:f>'练习记录'!$R$48</x:f>
        <x:v>0</x:v>
      </x:c>
      <x:c r="K48" s="115" t="str">
        <x:f>IF(OR(E48&lt;&gt;"",F48&lt;&gt;""),"剑雅"&amp;B48&amp;"-T"&amp;C48&amp;"-第"&amp;IF(D48="",1,D48)&amp;"次","")</x:f>
      </x:c>
      <x:c r="L48" s="116" t="str">
        <x:f>IF(E48&lt;&gt;"",E48,"")</x:f>
      </x:c>
      <x:c r="M48" s="116" t="str">
        <x:f>IF(F48&lt;&gt;"",F48,"")</x:f>
      </x:c>
      <x:c r="N48" s="116" t="str">
        <x:f>IF(G48&lt;&gt;"",G48,"")</x:f>
      </x:c>
    </x:row>
    <x:row r="49">
      <x:c r="A49" s="114" t="str">
        <x:f>IF(OR('练习记录'!$J$49&lt;&gt;"",'练习记录'!$O$49&lt;&gt;""),'练习记录'!$A$49,"")</x:f>
      </x:c>
      <x:c r="B49" s="132" t="str">
        <x:f>IF(OR('练习记录'!$J$49&lt;&gt;"",'练习记录'!$O$49&lt;&gt;""),IFERROR('练习记录'!$B$49,""),"")</x:f>
      </x:c>
      <x:c r="C49" s="132" t="str">
        <x:f>IF(OR('练习记录'!$J$49&lt;&gt;"",'练习记录'!$O$49&lt;&gt;""),'练习记录'!$C$49,"")</x:f>
      </x:c>
      <x:c r="D49" s="132" t="str">
        <x:f>IF(OR('练习记录'!$J$49&lt;&gt;"",'练习记录'!$O$49&lt;&gt;""),'练习记录'!$D$49,"")</x:f>
      </x:c>
      <x:c r="E49" s="116" t="str">
        <x:f>IF('练习记录'!$J$49&lt;&gt;"",'练习记录'!$J$49,"")</x:f>
      </x:c>
      <x:c r="F49" s="116" t="str">
        <x:f>IF('练习记录'!$O$49&lt;&gt;"",'练习记录'!$O$49,"")</x:f>
      </x:c>
      <x:c r="G49" s="116" t="str">
        <x:f>IF('练习记录'!$P$49&lt;&gt;"",'练习记录'!$P$49,"")</x:f>
      </x:c>
      <x:c r="H49" s="116" t="str">
        <x:f>IF('练习记录'!$Q$49&lt;&gt;"",'练习记录'!$Q$49,"")</x:f>
      </x:c>
      <x:c r="I49" s="115" t="n">
        <x:f>'练习记录'!$R$49</x:f>
        <x:v>0</x:v>
      </x:c>
      <x:c r="K49" s="115" t="str">
        <x:f>IF(OR(E49&lt;&gt;"",F49&lt;&gt;""),"剑雅"&amp;B49&amp;"-T"&amp;C49&amp;"-第"&amp;IF(D49="",1,D49)&amp;"次","")</x:f>
      </x:c>
      <x:c r="L49" s="116" t="str">
        <x:f>IF(E49&lt;&gt;"",E49,"")</x:f>
      </x:c>
      <x:c r="M49" s="116" t="str">
        <x:f>IF(F49&lt;&gt;"",F49,"")</x:f>
      </x:c>
      <x:c r="N49" s="116" t="str">
        <x:f>IF(G49&lt;&gt;"",G49,"")</x:f>
      </x:c>
    </x:row>
    <x:row r="50">
      <x:c r="A50" s="114" t="str">
        <x:f>IF(OR('练习记录'!$J$50&lt;&gt;"",'练习记录'!$O$50&lt;&gt;""),'练习记录'!$A$50,"")</x:f>
      </x:c>
      <x:c r="B50" s="132" t="str">
        <x:f>IF(OR('练习记录'!$J$50&lt;&gt;"",'练习记录'!$O$50&lt;&gt;""),IFERROR('练习记录'!$B$49,""),"")</x:f>
      </x:c>
      <x:c r="C50" s="132" t="str">
        <x:f>IF(OR('练习记录'!$J$50&lt;&gt;"",'练习记录'!$O$50&lt;&gt;""),'练习记录'!$C$50,"")</x:f>
      </x:c>
      <x:c r="D50" s="132" t="str">
        <x:f>IF(OR('练习记录'!$J$50&lt;&gt;"",'练习记录'!$O$50&lt;&gt;""),'练习记录'!$D$50,"")</x:f>
      </x:c>
      <x:c r="E50" s="116" t="str">
        <x:f>IF('练习记录'!$J$50&lt;&gt;"",'练习记录'!$J$50,"")</x:f>
      </x:c>
      <x:c r="F50" s="116" t="str">
        <x:f>IF('练习记录'!$O$50&lt;&gt;"",'练习记录'!$O$50,"")</x:f>
      </x:c>
      <x:c r="G50" s="116" t="str">
        <x:f>IF('练习记录'!$P$50&lt;&gt;"",'练习记录'!$P$50,"")</x:f>
      </x:c>
      <x:c r="H50" s="116" t="str">
        <x:f>IF('练习记录'!$Q$50&lt;&gt;"",'练习记录'!$Q$50,"")</x:f>
      </x:c>
      <x:c r="I50" s="115" t="n">
        <x:f>'练习记录'!$R$50</x:f>
        <x:v>0</x:v>
      </x:c>
      <x:c r="K50" s="115" t="str">
        <x:f>IF(OR(E50&lt;&gt;"",F50&lt;&gt;""),"剑雅"&amp;B50&amp;"-T"&amp;C50&amp;"-第"&amp;IF(D50="",1,D50)&amp;"次","")</x:f>
      </x:c>
      <x:c r="L50" s="116" t="str">
        <x:f>IF(E50&lt;&gt;"",E50,"")</x:f>
      </x:c>
      <x:c r="M50" s="116" t="str">
        <x:f>IF(F50&lt;&gt;"",F50,"")</x:f>
      </x:c>
      <x:c r="N50" s="116" t="str">
        <x:f>IF(G50&lt;&gt;"",G50,"")</x:f>
      </x:c>
    </x:row>
    <x:row r="51">
      <x:c r="A51" s="114" t="str">
        <x:f>IF(OR('练习记录'!$J$51&lt;&gt;"",'练习记录'!$O$51&lt;&gt;""),'练习记录'!$A$51,"")</x:f>
      </x:c>
      <x:c r="B51" s="132" t="str">
        <x:f>IF(OR('练习记录'!$J$51&lt;&gt;"",'练习记录'!$O$51&lt;&gt;""),IFERROR('练习记录'!$B$49,""),"")</x:f>
      </x:c>
      <x:c r="C51" s="132" t="str">
        <x:f>IF(OR('练习记录'!$J$51&lt;&gt;"",'练习记录'!$O$51&lt;&gt;""),'练习记录'!$C$51,"")</x:f>
      </x:c>
      <x:c r="D51" s="132" t="str">
        <x:f>IF(OR('练习记录'!$J$51&lt;&gt;"",'练习记录'!$O$51&lt;&gt;""),'练习记录'!$D$51,"")</x:f>
      </x:c>
      <x:c r="E51" s="116" t="str">
        <x:f>IF('练习记录'!$J$51&lt;&gt;"",'练习记录'!$J$51,"")</x:f>
      </x:c>
      <x:c r="F51" s="116" t="str">
        <x:f>IF('练习记录'!$O$51&lt;&gt;"",'练习记录'!$O$51,"")</x:f>
      </x:c>
      <x:c r="G51" s="116" t="str">
        <x:f>IF('练习记录'!$P$51&lt;&gt;"",'练习记录'!$P$51,"")</x:f>
      </x:c>
      <x:c r="H51" s="116" t="str">
        <x:f>IF('练习记录'!$Q$51&lt;&gt;"",'练习记录'!$Q$51,"")</x:f>
      </x:c>
      <x:c r="I51" s="115" t="n">
        <x:f>'练习记录'!$R$51</x:f>
        <x:v>0</x:v>
      </x:c>
      <x:c r="K51" s="115" t="str">
        <x:f>IF(OR(E51&lt;&gt;"",F51&lt;&gt;""),"剑雅"&amp;B51&amp;"-T"&amp;C51&amp;"-第"&amp;IF(D51="",1,D51)&amp;"次","")</x:f>
      </x:c>
      <x:c r="L51" s="116" t="str">
        <x:f>IF(E51&lt;&gt;"",E51,"")</x:f>
      </x:c>
      <x:c r="M51" s="116" t="str">
        <x:f>IF(F51&lt;&gt;"",F51,"")</x:f>
      </x:c>
      <x:c r="N51" s="116" t="str">
        <x:f>IF(G51&lt;&gt;"",G51,"")</x:f>
      </x:c>
    </x:row>
    <x:row r="52">
      <x:c r="A52" s="114" t="str">
        <x:f>IF(OR('练习记录'!$J$52&lt;&gt;"",'练习记录'!$O$52&lt;&gt;""),'练习记录'!$A$52,"")</x:f>
      </x:c>
      <x:c r="B52" s="132" t="str">
        <x:f>IF(OR('练习记录'!$J$52&lt;&gt;"",'练习记录'!$O$52&lt;&gt;""),IFERROR('练习记录'!$B$49,""),"")</x:f>
      </x:c>
      <x:c r="C52" s="132" t="str">
        <x:f>IF(OR('练习记录'!$J$52&lt;&gt;"",'练习记录'!$O$52&lt;&gt;""),'练习记录'!$C$52,"")</x:f>
      </x:c>
      <x:c r="D52" s="132" t="str">
        <x:f>IF(OR('练习记录'!$J$52&lt;&gt;"",'练习记录'!$O$52&lt;&gt;""),'练习记录'!$D$52,"")</x:f>
      </x:c>
      <x:c r="E52" s="116" t="str">
        <x:f>IF('练习记录'!$J$52&lt;&gt;"",'练习记录'!$J$52,"")</x:f>
      </x:c>
      <x:c r="F52" s="116" t="str">
        <x:f>IF('练习记录'!$O$52&lt;&gt;"",'练习记录'!$O$52,"")</x:f>
      </x:c>
      <x:c r="G52" s="116" t="str">
        <x:f>IF('练习记录'!$P$52&lt;&gt;"",'练习记录'!$P$52,"")</x:f>
      </x:c>
      <x:c r="H52" s="116" t="str">
        <x:f>IF('练习记录'!$Q$52&lt;&gt;"",'练习记录'!$Q$52,"")</x:f>
      </x:c>
      <x:c r="I52" s="115" t="n">
        <x:f>'练习记录'!$R$52</x:f>
        <x:v>0</x:v>
      </x:c>
      <x:c r="K52" s="115" t="str">
        <x:f>IF(OR(E52&lt;&gt;"",F52&lt;&gt;""),"剑雅"&amp;B52&amp;"-T"&amp;C52&amp;"-第"&amp;IF(D52="",1,D52)&amp;"次","")</x:f>
      </x:c>
      <x:c r="L52" s="116" t="str">
        <x:f>IF(E52&lt;&gt;"",E52,"")</x:f>
      </x:c>
      <x:c r="M52" s="116" t="str">
        <x:f>IF(F52&lt;&gt;"",F52,"")</x:f>
      </x:c>
      <x:c r="N52" s="116" t="str">
        <x:f>IF(G52&lt;&gt;"",G52,"")</x:f>
      </x:c>
    </x:row>
    <x:row r="53">
      <x:c r="A53" s="114" t="str">
        <x:f>IF(OR('练习记录'!$J$53&lt;&gt;"",'练习记录'!$O$53&lt;&gt;""),'练习记录'!$A$53,"")</x:f>
      </x:c>
      <x:c r="B53" s="132" t="str">
        <x:f>IF(OR('练习记录'!$J$53&lt;&gt;"",'练习记录'!$O$53&lt;&gt;""),IFERROR('练习记录'!$B$53,""),"")</x:f>
      </x:c>
      <x:c r="C53" s="132" t="str">
        <x:f>IF(OR('练习记录'!$J$53&lt;&gt;"",'练习记录'!$O$53&lt;&gt;""),'练习记录'!$C$53,"")</x:f>
      </x:c>
      <x:c r="D53" s="132" t="str">
        <x:f>IF(OR('练习记录'!$J$53&lt;&gt;"",'练习记录'!$O$53&lt;&gt;""),'练习记录'!$D$53,"")</x:f>
      </x:c>
      <x:c r="E53" s="116" t="str">
        <x:f>IF('练习记录'!$J$53&lt;&gt;"",'练习记录'!$J$53,"")</x:f>
      </x:c>
      <x:c r="F53" s="116" t="str">
        <x:f>IF('练习记录'!$O$53&lt;&gt;"",'练习记录'!$O$53,"")</x:f>
      </x:c>
      <x:c r="G53" s="116" t="str">
        <x:f>IF('练习记录'!$P$53&lt;&gt;"",'练习记录'!$P$53,"")</x:f>
      </x:c>
      <x:c r="H53" s="116" t="str">
        <x:f>IF('练习记录'!$Q$53&lt;&gt;"",'练习记录'!$Q$53,"")</x:f>
      </x:c>
      <x:c r="I53" s="115" t="n">
        <x:f>'练习记录'!$R$53</x:f>
        <x:v>0</x:v>
      </x:c>
      <x:c r="K53" s="115" t="str">
        <x:f>IF(OR(E53&lt;&gt;"",F53&lt;&gt;""),"剑雅"&amp;B53&amp;"-T"&amp;C53&amp;"-第"&amp;IF(D53="",1,D53)&amp;"次","")</x:f>
      </x:c>
      <x:c r="L53" s="116" t="str">
        <x:f>IF(E53&lt;&gt;"",E53,"")</x:f>
      </x:c>
      <x:c r="M53" s="116" t="str">
        <x:f>IF(F53&lt;&gt;"",F53,"")</x:f>
      </x:c>
      <x:c r="N53" s="116" t="str">
        <x:f>IF(G53&lt;&gt;"",G53,"")</x:f>
      </x:c>
    </x:row>
    <x:row r="54">
      <x:c r="A54" s="114" t="str">
        <x:f>IF(OR('练习记录'!$J$54&lt;&gt;"",'练习记录'!$O$54&lt;&gt;""),'练习记录'!$A$54,"")</x:f>
      </x:c>
      <x:c r="B54" s="132" t="str">
        <x:f>IF(OR('练习记录'!$J$54&lt;&gt;"",'练习记录'!$O$54&lt;&gt;""),IFERROR('练习记录'!$B$53,""),"")</x:f>
      </x:c>
      <x:c r="C54" s="132" t="str">
        <x:f>IF(OR('练习记录'!$J$54&lt;&gt;"",'练习记录'!$O$54&lt;&gt;""),'练习记录'!$C$54,"")</x:f>
      </x:c>
      <x:c r="D54" s="132" t="str">
        <x:f>IF(OR('练习记录'!$J$54&lt;&gt;"",'练习记录'!$O$54&lt;&gt;""),'练习记录'!$D$54,"")</x:f>
      </x:c>
      <x:c r="E54" s="116" t="str">
        <x:f>IF('练习记录'!$J$54&lt;&gt;"",'练习记录'!$J$54,"")</x:f>
      </x:c>
      <x:c r="F54" s="116" t="str">
        <x:f>IF('练习记录'!$O$54&lt;&gt;"",'练习记录'!$O$54,"")</x:f>
      </x:c>
      <x:c r="G54" s="116" t="str">
        <x:f>IF('练习记录'!$P$54&lt;&gt;"",'练习记录'!$P$54,"")</x:f>
      </x:c>
      <x:c r="H54" s="116" t="str">
        <x:f>IF('练习记录'!$Q$54&lt;&gt;"",'练习记录'!$Q$54,"")</x:f>
      </x:c>
      <x:c r="I54" s="115" t="n">
        <x:f>'练习记录'!$R$54</x:f>
        <x:v>0</x:v>
      </x:c>
      <x:c r="K54" s="115" t="str">
        <x:f>IF(OR(E54&lt;&gt;"",F54&lt;&gt;""),"剑雅"&amp;B54&amp;"-T"&amp;C54&amp;"-第"&amp;IF(D54="",1,D54)&amp;"次","")</x:f>
      </x:c>
      <x:c r="L54" s="116" t="str">
        <x:f>IF(E54&lt;&gt;"",E54,"")</x:f>
      </x:c>
      <x:c r="M54" s="116" t="str">
        <x:f>IF(F54&lt;&gt;"",F54,"")</x:f>
      </x:c>
      <x:c r="N54" s="116" t="str">
        <x:f>IF(G54&lt;&gt;"",G54,"")</x:f>
      </x:c>
    </x:row>
    <x:row r="55">
      <x:c r="A55" s="114" t="str">
        <x:f>IF(OR('练习记录'!$J$55&lt;&gt;"",'练习记录'!$O$55&lt;&gt;""),'练习记录'!$A$55,"")</x:f>
      </x:c>
      <x:c r="B55" s="132" t="str">
        <x:f>IF(OR('练习记录'!$J$55&lt;&gt;"",'练习记录'!$O$55&lt;&gt;""),IFERROR('练习记录'!$B$53,""),"")</x:f>
      </x:c>
      <x:c r="C55" s="132" t="str">
        <x:f>IF(OR('练习记录'!$J$55&lt;&gt;"",'练习记录'!$O$55&lt;&gt;""),'练习记录'!$C$55,"")</x:f>
      </x:c>
      <x:c r="D55" s="132" t="str">
        <x:f>IF(OR('练习记录'!$J$55&lt;&gt;"",'练习记录'!$O$55&lt;&gt;""),'练习记录'!$D$55,"")</x:f>
      </x:c>
      <x:c r="E55" s="116" t="str">
        <x:f>IF('练习记录'!$J$55&lt;&gt;"",'练习记录'!$J$55,"")</x:f>
      </x:c>
      <x:c r="F55" s="116" t="str">
        <x:f>IF('练习记录'!$O$55&lt;&gt;"",'练习记录'!$O$55,"")</x:f>
      </x:c>
      <x:c r="G55" s="116" t="str">
        <x:f>IF('练习记录'!$P$55&lt;&gt;"",'练习记录'!$P$55,"")</x:f>
      </x:c>
      <x:c r="H55" s="116" t="str">
        <x:f>IF('练习记录'!$Q$55&lt;&gt;"",'练习记录'!$Q$55,"")</x:f>
      </x:c>
      <x:c r="I55" s="115" t="n">
        <x:f>'练习记录'!$R$55</x:f>
        <x:v>0</x:v>
      </x:c>
      <x:c r="K55" s="115" t="str">
        <x:f>IF(OR(E55&lt;&gt;"",F55&lt;&gt;""),"剑雅"&amp;B55&amp;"-T"&amp;C55&amp;"-第"&amp;IF(D55="",1,D55)&amp;"次","")</x:f>
      </x:c>
      <x:c r="L55" s="116" t="str">
        <x:f>IF(E55&lt;&gt;"",E55,"")</x:f>
      </x:c>
      <x:c r="M55" s="116" t="str">
        <x:f>IF(F55&lt;&gt;"",F55,"")</x:f>
      </x:c>
      <x:c r="N55" s="116" t="str">
        <x:f>IF(G55&lt;&gt;"",G55,"")</x:f>
      </x:c>
    </x:row>
    <x:row r="56">
      <x:c r="A56" s="114" t="str">
        <x:f>IF(OR('练习记录'!$J$56&lt;&gt;"",'练习记录'!$O$56&lt;&gt;""),'练习记录'!$A$56,"")</x:f>
      </x:c>
      <x:c r="B56" s="132" t="str">
        <x:f>IF(OR('练习记录'!$J$56&lt;&gt;"",'练习记录'!$O$56&lt;&gt;""),IFERROR('练习记录'!$B$53,""),"")</x:f>
      </x:c>
      <x:c r="C56" s="132" t="str">
        <x:f>IF(OR('练习记录'!$J$56&lt;&gt;"",'练习记录'!$O$56&lt;&gt;""),'练习记录'!$C$56,"")</x:f>
      </x:c>
      <x:c r="D56" s="132" t="str">
        <x:f>IF(OR('练习记录'!$J$56&lt;&gt;"",'练习记录'!$O$56&lt;&gt;""),'练习记录'!$D$56,"")</x:f>
      </x:c>
      <x:c r="E56" s="116" t="str">
        <x:f>IF('练习记录'!$J$56&lt;&gt;"",'练习记录'!$J$56,"")</x:f>
      </x:c>
      <x:c r="F56" s="116" t="str">
        <x:f>IF('练习记录'!$O$56&lt;&gt;"",'练习记录'!$O$56,"")</x:f>
      </x:c>
      <x:c r="G56" s="116" t="str">
        <x:f>IF('练习记录'!$P$56&lt;&gt;"",'练习记录'!$P$56,"")</x:f>
      </x:c>
      <x:c r="H56" s="116" t="str">
        <x:f>IF('练习记录'!$Q$56&lt;&gt;"",'练习记录'!$Q$56,"")</x:f>
      </x:c>
      <x:c r="I56" s="115" t="n">
        <x:f>'练习记录'!$R$56</x:f>
        <x:v>0</x:v>
      </x:c>
      <x:c r="K56" s="115" t="str">
        <x:f>IF(OR(E56&lt;&gt;"",F56&lt;&gt;""),"剑雅"&amp;B56&amp;"-T"&amp;C56&amp;"-第"&amp;IF(D56="",1,D56)&amp;"次","")</x:f>
      </x:c>
      <x:c r="L56" s="116" t="str">
        <x:f>IF(E56&lt;&gt;"",E56,"")</x:f>
      </x:c>
      <x:c r="M56" s="116" t="str">
        <x:f>IF(F56&lt;&gt;"",F56,"")</x:f>
      </x:c>
      <x:c r="N56" s="116" t="str">
        <x:f>IF(G56&lt;&gt;"",G56,"")</x:f>
      </x:c>
    </x:row>
    <x:row r="57">
      <x:c r="A57" s="114" t="str">
        <x:f>IF(OR('练习记录'!$J$57&lt;&gt;"",'练习记录'!$O$57&lt;&gt;""),'练习记录'!$A$57,"")</x:f>
      </x:c>
      <x:c r="B57" s="132" t="str">
        <x:f>IF(OR('练习记录'!$J$57&lt;&gt;"",'练习记录'!$O$57&lt;&gt;""),IFERROR('练习记录'!$B$57,""),"")</x:f>
      </x:c>
      <x:c r="C57" s="132" t="str">
        <x:f>IF(OR('练习记录'!$J$57&lt;&gt;"",'练习记录'!$O$57&lt;&gt;""),'练习记录'!$C$57,"")</x:f>
      </x:c>
      <x:c r="D57" s="132" t="str">
        <x:f>IF(OR('练习记录'!$J$57&lt;&gt;"",'练习记录'!$O$57&lt;&gt;""),'练习记录'!$D$57,"")</x:f>
      </x:c>
      <x:c r="E57" s="116" t="str">
        <x:f>IF('练习记录'!$J$57&lt;&gt;"",'练习记录'!$J$57,"")</x:f>
      </x:c>
      <x:c r="F57" s="116" t="str">
        <x:f>IF('练习记录'!$O$57&lt;&gt;"",'练习记录'!$O$57,"")</x:f>
      </x:c>
      <x:c r="G57" s="116" t="str">
        <x:f>IF('练习记录'!$P$57&lt;&gt;"",'练习记录'!$P$57,"")</x:f>
      </x:c>
      <x:c r="H57" s="116" t="str">
        <x:f>IF('练习记录'!$Q$57&lt;&gt;"",'练习记录'!$Q$57,"")</x:f>
      </x:c>
      <x:c r="I57" s="115" t="n">
        <x:f>'练习记录'!$R$57</x:f>
        <x:v>0</x:v>
      </x:c>
      <x:c r="K57" s="115" t="str">
        <x:f>IF(OR(E57&lt;&gt;"",F57&lt;&gt;""),"剑雅"&amp;B57&amp;"-T"&amp;C57&amp;"-第"&amp;IF(D57="",1,D57)&amp;"次","")</x:f>
      </x:c>
      <x:c r="L57" s="116" t="str">
        <x:f>IF(E57&lt;&gt;"",E57,"")</x:f>
      </x:c>
      <x:c r="M57" s="116" t="str">
        <x:f>IF(F57&lt;&gt;"",F57,"")</x:f>
      </x:c>
      <x:c r="N57" s="116" t="str">
        <x:f>IF(G57&lt;&gt;"",G57,"")</x:f>
      </x:c>
    </x:row>
    <x:row r="58">
      <x:c r="A58" s="114" t="str">
        <x:f>IF(OR('练习记录'!$J$58&lt;&gt;"",'练习记录'!$O$58&lt;&gt;""),'练习记录'!$A$58,"")</x:f>
      </x:c>
      <x:c r="B58" s="132" t="str">
        <x:f>IF(OR('练习记录'!$J$58&lt;&gt;"",'练习记录'!$O$58&lt;&gt;""),IFERROR('练习记录'!$B$57,""),"")</x:f>
      </x:c>
      <x:c r="C58" s="132" t="str">
        <x:f>IF(OR('练习记录'!$J$58&lt;&gt;"",'练习记录'!$O$58&lt;&gt;""),'练习记录'!$C$58,"")</x:f>
      </x:c>
      <x:c r="D58" s="132" t="str">
        <x:f>IF(OR('练习记录'!$J$58&lt;&gt;"",'练习记录'!$O$58&lt;&gt;""),'练习记录'!$D$58,"")</x:f>
      </x:c>
      <x:c r="E58" s="116" t="str">
        <x:f>IF('练习记录'!$J$58&lt;&gt;"",'练习记录'!$J$58,"")</x:f>
      </x:c>
      <x:c r="F58" s="116" t="str">
        <x:f>IF('练习记录'!$O$58&lt;&gt;"",'练习记录'!$O$58,"")</x:f>
      </x:c>
      <x:c r="G58" s="116" t="str">
        <x:f>IF('练习记录'!$P$58&lt;&gt;"",'练习记录'!$P$58,"")</x:f>
      </x:c>
      <x:c r="H58" s="116" t="str">
        <x:f>IF('练习记录'!$Q$58&lt;&gt;"",'练习记录'!$Q$58,"")</x:f>
      </x:c>
      <x:c r="I58" s="115" t="n">
        <x:f>'练习记录'!$R$58</x:f>
        <x:v>0</x:v>
      </x:c>
      <x:c r="K58" s="115" t="str">
        <x:f>IF(OR(E58&lt;&gt;"",F58&lt;&gt;""),"剑雅"&amp;B58&amp;"-T"&amp;C58&amp;"-第"&amp;IF(D58="",1,D58)&amp;"次","")</x:f>
      </x:c>
      <x:c r="L58" s="116" t="str">
        <x:f>IF(E58&lt;&gt;"",E58,"")</x:f>
      </x:c>
      <x:c r="M58" s="116" t="str">
        <x:f>IF(F58&lt;&gt;"",F58,"")</x:f>
      </x:c>
      <x:c r="N58" s="116" t="str">
        <x:f>IF(G58&lt;&gt;"",G58,"")</x:f>
      </x:c>
    </x:row>
    <x:row r="59">
      <x:c r="A59" s="114" t="str">
        <x:f>IF(OR('练习记录'!$J$59&lt;&gt;"",'练习记录'!$O$59&lt;&gt;""),'练习记录'!$A$59,"")</x:f>
      </x:c>
      <x:c r="B59" s="132" t="str">
        <x:f>IF(OR('练习记录'!$J$59&lt;&gt;"",'练习记录'!$O$59&lt;&gt;""),IFERROR('练习记录'!$B$57,""),"")</x:f>
      </x:c>
      <x:c r="C59" s="132" t="str">
        <x:f>IF(OR('练习记录'!$J$59&lt;&gt;"",'练习记录'!$O$59&lt;&gt;""),'练习记录'!$C$59,"")</x:f>
      </x:c>
      <x:c r="D59" s="132" t="str">
        <x:f>IF(OR('练习记录'!$J$59&lt;&gt;"",'练习记录'!$O$59&lt;&gt;""),'练习记录'!$D$59,"")</x:f>
      </x:c>
      <x:c r="E59" s="116" t="str">
        <x:f>IF('练习记录'!$J$59&lt;&gt;"",'练习记录'!$J$59,"")</x:f>
      </x:c>
      <x:c r="F59" s="116" t="str">
        <x:f>IF('练习记录'!$O$59&lt;&gt;"",'练习记录'!$O$59,"")</x:f>
      </x:c>
      <x:c r="G59" s="116" t="str">
        <x:f>IF('练习记录'!$P$59&lt;&gt;"",'练习记录'!$P$59,"")</x:f>
      </x:c>
      <x:c r="H59" s="116" t="str">
        <x:f>IF('练习记录'!$Q$59&lt;&gt;"",'练习记录'!$Q$59,"")</x:f>
      </x:c>
      <x:c r="I59" s="115" t="n">
        <x:f>'练习记录'!$R$59</x:f>
        <x:v>0</x:v>
      </x:c>
      <x:c r="K59" s="115" t="str">
        <x:f>IF(OR(E59&lt;&gt;"",F59&lt;&gt;""),"剑雅"&amp;B59&amp;"-T"&amp;C59&amp;"-第"&amp;IF(D59="",1,D59)&amp;"次","")</x:f>
      </x:c>
      <x:c r="L59" s="116" t="str">
        <x:f>IF(E59&lt;&gt;"",E59,"")</x:f>
      </x:c>
      <x:c r="M59" s="116" t="str">
        <x:f>IF(F59&lt;&gt;"",F59,"")</x:f>
      </x:c>
      <x:c r="N59" s="116" t="str">
        <x:f>IF(G59&lt;&gt;"",G59,"")</x:f>
      </x:c>
    </x:row>
    <x:row r="60">
      <x:c r="A60" s="114" t="str">
        <x:f>IF(OR('练习记录'!$J$60&lt;&gt;"",'练习记录'!$O$60&lt;&gt;""),'练习记录'!$A$60,"")</x:f>
      </x:c>
      <x:c r="B60" s="132" t="str">
        <x:f>IF(OR('练习记录'!$J$60&lt;&gt;"",'练习记录'!$O$60&lt;&gt;""),IFERROR('练习记录'!$B$57,""),"")</x:f>
      </x:c>
      <x:c r="C60" s="132" t="str">
        <x:f>IF(OR('练习记录'!$J$60&lt;&gt;"",'练习记录'!$O$60&lt;&gt;""),'练习记录'!$C$60,"")</x:f>
      </x:c>
      <x:c r="D60" s="132" t="str">
        <x:f>IF(OR('练习记录'!$J$60&lt;&gt;"",'练习记录'!$O$60&lt;&gt;""),'练习记录'!$D$60,"")</x:f>
      </x:c>
      <x:c r="E60" s="116" t="str">
        <x:f>IF('练习记录'!$J$60&lt;&gt;"",'练习记录'!$J$60,"")</x:f>
      </x:c>
      <x:c r="F60" s="116" t="str">
        <x:f>IF('练习记录'!$O$60&lt;&gt;"",'练习记录'!$O$60,"")</x:f>
      </x:c>
      <x:c r="G60" s="116" t="str">
        <x:f>IF('练习记录'!$P$60&lt;&gt;"",'练习记录'!$P$60,"")</x:f>
      </x:c>
      <x:c r="H60" s="116" t="str">
        <x:f>IF('练习记录'!$Q$60&lt;&gt;"",'练习记录'!$Q$60,"")</x:f>
      </x:c>
      <x:c r="I60" s="115" t="n">
        <x:f>'练习记录'!$R$60</x:f>
        <x:v>0</x:v>
      </x:c>
      <x:c r="K60" s="115" t="str">
        <x:f>IF(OR(E60&lt;&gt;"",F60&lt;&gt;""),"剑雅"&amp;B60&amp;"-T"&amp;C60&amp;"-第"&amp;IF(D60="",1,D60)&amp;"次","")</x:f>
      </x:c>
      <x:c r="L60" s="116" t="str">
        <x:f>IF(E60&lt;&gt;"",E60,"")</x:f>
      </x:c>
      <x:c r="M60" s="116" t="str">
        <x:f>IF(F60&lt;&gt;"",F60,"")</x:f>
      </x:c>
      <x:c r="N60" s="116" t="str">
        <x:f>IF(G60&lt;&gt;"",G60,"")</x:f>
      </x:c>
    </x:row>
    <x:row r="61">
      <x:c r="A61" s="114" t="str">
        <x:f>IF(OR('练习记录'!$J$61&lt;&gt;"",'练习记录'!$O$61&lt;&gt;""),'练习记录'!$A$61,"")</x:f>
      </x:c>
      <x:c r="B61" s="132" t="str">
        <x:f>IF(OR('练习记录'!$J$61&lt;&gt;"",'练习记录'!$O$61&lt;&gt;""),IFERROR('练习记录'!$B$61,""),"")</x:f>
      </x:c>
      <x:c r="C61" s="132" t="str">
        <x:f>IF(OR('练习记录'!$J$61&lt;&gt;"",'练习记录'!$O$61&lt;&gt;""),'练习记录'!$C$61,"")</x:f>
      </x:c>
      <x:c r="D61" s="132" t="str">
        <x:f>IF(OR('练习记录'!$J$61&lt;&gt;"",'练习记录'!$O$61&lt;&gt;""),'练习记录'!$D$61,"")</x:f>
      </x:c>
      <x:c r="E61" s="116" t="str">
        <x:f>IF('练习记录'!$J$61&lt;&gt;"",'练习记录'!$J$61,"")</x:f>
      </x:c>
      <x:c r="F61" s="116" t="str">
        <x:f>IF('练习记录'!$O$61&lt;&gt;"",'练习记录'!$O$61,"")</x:f>
      </x:c>
      <x:c r="G61" s="116" t="str">
        <x:f>IF('练习记录'!$P$61&lt;&gt;"",'练习记录'!$P$61,"")</x:f>
      </x:c>
      <x:c r="H61" s="116" t="str">
        <x:f>IF('练习记录'!$Q$61&lt;&gt;"",'练习记录'!$Q$61,"")</x:f>
      </x:c>
      <x:c r="I61" s="115" t="n">
        <x:f>'练习记录'!$R$61</x:f>
        <x:v>0</x:v>
      </x:c>
      <x:c r="K61" s="115" t="str">
        <x:f>IF(OR(E61&lt;&gt;"",F61&lt;&gt;""),"剑雅"&amp;B61&amp;"-T"&amp;C61&amp;"-第"&amp;IF(D61="",1,D61)&amp;"次","")</x:f>
      </x:c>
      <x:c r="L61" s="116" t="str">
        <x:f>IF(E61&lt;&gt;"",E61,"")</x:f>
      </x:c>
      <x:c r="M61" s="116" t="str">
        <x:f>IF(F61&lt;&gt;"",F61,"")</x:f>
      </x:c>
      <x:c r="N61" s="116" t="str">
        <x:f>IF(G61&lt;&gt;"",G61,"")</x:f>
      </x:c>
    </x:row>
    <x:row r="62">
      <x:c r="A62" s="114" t="str">
        <x:f>IF(OR('练习记录'!$J$62&lt;&gt;"",'练习记录'!$O$62&lt;&gt;""),'练习记录'!$A$62,"")</x:f>
      </x:c>
      <x:c r="B62" s="132" t="str">
        <x:f>IF(OR('练习记录'!$J$62&lt;&gt;"",'练习记录'!$O$62&lt;&gt;""),IFERROR('练习记录'!$B$61,""),"")</x:f>
      </x:c>
      <x:c r="C62" s="132" t="str">
        <x:f>IF(OR('练习记录'!$J$62&lt;&gt;"",'练习记录'!$O$62&lt;&gt;""),'练习记录'!$C$62,"")</x:f>
      </x:c>
      <x:c r="D62" s="132" t="str">
        <x:f>IF(OR('练习记录'!$J$62&lt;&gt;"",'练习记录'!$O$62&lt;&gt;""),'练习记录'!$D$62,"")</x:f>
      </x:c>
      <x:c r="E62" s="116" t="str">
        <x:f>IF('练习记录'!$J$62&lt;&gt;"",'练习记录'!$J$62,"")</x:f>
      </x:c>
      <x:c r="F62" s="116" t="str">
        <x:f>IF('练习记录'!$O$62&lt;&gt;"",'练习记录'!$O$62,"")</x:f>
      </x:c>
      <x:c r="G62" s="116" t="str">
        <x:f>IF('练习记录'!$P$62&lt;&gt;"",'练习记录'!$P$62,"")</x:f>
      </x:c>
      <x:c r="H62" s="116" t="str">
        <x:f>IF('练习记录'!$Q$62&lt;&gt;"",'练习记录'!$Q$62,"")</x:f>
      </x:c>
      <x:c r="I62" s="115" t="n">
        <x:f>'练习记录'!$R$62</x:f>
        <x:v>0</x:v>
      </x:c>
      <x:c r="K62" s="115" t="str">
        <x:f>IF(OR(E62&lt;&gt;"",F62&lt;&gt;""),"剑雅"&amp;B62&amp;"-T"&amp;C62&amp;"-第"&amp;IF(D62="",1,D62)&amp;"次","")</x:f>
      </x:c>
      <x:c r="L62" s="116" t="str">
        <x:f>IF(E62&lt;&gt;"",E62,"")</x:f>
      </x:c>
      <x:c r="M62" s="116" t="str">
        <x:f>IF(F62&lt;&gt;"",F62,"")</x:f>
      </x:c>
      <x:c r="N62" s="116" t="str">
        <x:f>IF(G62&lt;&gt;"",G62,"")</x:f>
      </x:c>
    </x:row>
    <x:row r="63">
      <x:c r="A63" s="114" t="str">
        <x:f>IF(OR('练习记录'!$J$63&lt;&gt;"",'练习记录'!$O$63&lt;&gt;""),'练习记录'!$A$63,"")</x:f>
      </x:c>
      <x:c r="B63" s="132" t="str">
        <x:f>IF(OR('练习记录'!$J$63&lt;&gt;"",'练习记录'!$O$63&lt;&gt;""),IFERROR('练习记录'!$B$61,""),"")</x:f>
      </x:c>
      <x:c r="C63" s="132" t="str">
        <x:f>IF(OR('练习记录'!$J$63&lt;&gt;"",'练习记录'!$O$63&lt;&gt;""),'练习记录'!$C$63,"")</x:f>
      </x:c>
      <x:c r="D63" s="132" t="str">
        <x:f>IF(OR('练习记录'!$J$63&lt;&gt;"",'练习记录'!$O$63&lt;&gt;""),'练习记录'!$D$63,"")</x:f>
      </x:c>
      <x:c r="E63" s="116" t="str">
        <x:f>IF('练习记录'!$J$63&lt;&gt;"",'练习记录'!$J$63,"")</x:f>
      </x:c>
      <x:c r="F63" s="116" t="str">
        <x:f>IF('练习记录'!$O$63&lt;&gt;"",'练习记录'!$O$63,"")</x:f>
      </x:c>
      <x:c r="G63" s="116" t="str">
        <x:f>IF('练习记录'!$P$63&lt;&gt;"",'练习记录'!$P$63,"")</x:f>
      </x:c>
      <x:c r="H63" s="116" t="str">
        <x:f>IF('练习记录'!$Q$63&lt;&gt;"",'练习记录'!$Q$63,"")</x:f>
      </x:c>
      <x:c r="I63" s="115" t="n">
        <x:f>'练习记录'!$R$63</x:f>
        <x:v>0</x:v>
      </x:c>
      <x:c r="K63" s="115" t="str">
        <x:f>IF(OR(E63&lt;&gt;"",F63&lt;&gt;""),"剑雅"&amp;B63&amp;"-T"&amp;C63&amp;"-第"&amp;IF(D63="",1,D63)&amp;"次","")</x:f>
      </x:c>
      <x:c r="L63" s="116" t="str">
        <x:f>IF(E63&lt;&gt;"",E63,"")</x:f>
      </x:c>
      <x:c r="M63" s="116" t="str">
        <x:f>IF(F63&lt;&gt;"",F63,"")</x:f>
      </x:c>
      <x:c r="N63" s="116" t="str">
        <x:f>IF(G63&lt;&gt;"",G63,"")</x:f>
      </x:c>
    </x:row>
    <x:row r="64">
      <x:c r="A64" s="114" t="str">
        <x:f>IF(OR('练习记录'!$J$64&lt;&gt;"",'练习记录'!$O$64&lt;&gt;""),'练习记录'!$A$64,"")</x:f>
      </x:c>
      <x:c r="B64" s="132" t="str">
        <x:f>IF(OR('练习记录'!$J$64&lt;&gt;"",'练习记录'!$O$64&lt;&gt;""),IFERROR('练习记录'!$B$61,""),"")</x:f>
      </x:c>
      <x:c r="C64" s="132" t="str">
        <x:f>IF(OR('练习记录'!$J$64&lt;&gt;"",'练习记录'!$O$64&lt;&gt;""),'练习记录'!$C$64,"")</x:f>
      </x:c>
      <x:c r="D64" s="132" t="str">
        <x:f>IF(OR('练习记录'!$J$64&lt;&gt;"",'练习记录'!$O$64&lt;&gt;""),'练习记录'!$D$64,"")</x:f>
      </x:c>
      <x:c r="E64" s="116" t="str">
        <x:f>IF('练习记录'!$J$64&lt;&gt;"",'练习记录'!$J$64,"")</x:f>
      </x:c>
      <x:c r="F64" s="116" t="str">
        <x:f>IF('练习记录'!$O$64&lt;&gt;"",'练习记录'!$O$64,"")</x:f>
      </x:c>
      <x:c r="G64" s="116" t="str">
        <x:f>IF('练习记录'!$P$64&lt;&gt;"",'练习记录'!$P$64,"")</x:f>
      </x:c>
      <x:c r="H64" s="116" t="str">
        <x:f>IF('练习记录'!$Q$64&lt;&gt;"",'练习记录'!$Q$64,"")</x:f>
      </x:c>
      <x:c r="I64" s="115" t="n">
        <x:f>'练习记录'!$R$64</x:f>
        <x:v>0</x:v>
      </x:c>
      <x:c r="K64" s="115" t="str">
        <x:f>IF(OR(E64&lt;&gt;"",F64&lt;&gt;""),"剑雅"&amp;B64&amp;"-T"&amp;C64&amp;"-第"&amp;IF(D64="",1,D64)&amp;"次","")</x:f>
      </x:c>
      <x:c r="L64" s="116" t="str">
        <x:f>IF(E64&lt;&gt;"",E64,"")</x:f>
      </x:c>
      <x:c r="M64" s="116" t="str">
        <x:f>IF(F64&lt;&gt;"",F64,"")</x:f>
      </x:c>
      <x:c r="N64" s="116" t="str">
        <x:f>IF(G64&lt;&gt;"",G64,"")</x:f>
      </x:c>
    </x:row>
    <x:row r="65">
      <x:c r="A65" s="114" t="str">
        <x:f>IF(OR('练习记录'!$J$65&lt;&gt;"",'练习记录'!$O$65&lt;&gt;""),'练习记录'!$A$65,"")</x:f>
      </x:c>
      <x:c r="B65" s="132" t="str">
        <x:f>IF(OR('练习记录'!$J$65&lt;&gt;"",'练习记录'!$O$65&lt;&gt;""),IFERROR('练习记录'!$B$65,""),"")</x:f>
      </x:c>
      <x:c r="C65" s="132" t="str">
        <x:f>IF(OR('练习记录'!$J$65&lt;&gt;"",'练习记录'!$O$65&lt;&gt;""),'练习记录'!$C$65,"")</x:f>
      </x:c>
      <x:c r="D65" s="132" t="str">
        <x:f>IF(OR('练习记录'!$J$65&lt;&gt;"",'练习记录'!$O$65&lt;&gt;""),'练习记录'!$D$65,"")</x:f>
      </x:c>
      <x:c r="E65" s="116" t="str">
        <x:f>IF('练习记录'!$J$65&lt;&gt;"",'练习记录'!$J$65,"")</x:f>
      </x:c>
      <x:c r="F65" s="116" t="str">
        <x:f>IF('练习记录'!$O$65&lt;&gt;"",'练习记录'!$O$65,"")</x:f>
      </x:c>
      <x:c r="G65" s="116" t="str">
        <x:f>IF('练习记录'!$P$65&lt;&gt;"",'练习记录'!$P$65,"")</x:f>
      </x:c>
      <x:c r="H65" s="116" t="str">
        <x:f>IF('练习记录'!$Q$65&lt;&gt;"",'练习记录'!$Q$65,"")</x:f>
      </x:c>
      <x:c r="I65" s="115" t="n">
        <x:f>'练习记录'!$R$65</x:f>
        <x:v>0</x:v>
      </x:c>
      <x:c r="K65" s="115" t="str">
        <x:f>IF(OR(E65&lt;&gt;"",F65&lt;&gt;""),"剑雅"&amp;B65&amp;"-T"&amp;C65&amp;"-第"&amp;IF(D65="",1,D65)&amp;"次","")</x:f>
      </x:c>
      <x:c r="L65" s="116" t="str">
        <x:f>IF(E65&lt;&gt;"",E65,"")</x:f>
      </x:c>
      <x:c r="M65" s="116" t="str">
        <x:f>IF(F65&lt;&gt;"",F65,"")</x:f>
      </x:c>
      <x:c r="N65" s="116" t="str">
        <x:f>IF(G65&lt;&gt;"",G65,"")</x:f>
      </x:c>
    </x:row>
    <x:row r="66">
      <x:c r="A66" s="114" t="str">
        <x:f>IF(OR('练习记录'!$J$66&lt;&gt;"",'练习记录'!$O$66&lt;&gt;""),'练习记录'!$A$66,"")</x:f>
      </x:c>
      <x:c r="B66" s="132" t="str">
        <x:f>IF(OR('练习记录'!$J$66&lt;&gt;"",'练习记录'!$O$66&lt;&gt;""),IFERROR('练习记录'!$B$65,""),"")</x:f>
      </x:c>
      <x:c r="C66" s="132" t="str">
        <x:f>IF(OR('练习记录'!$J$66&lt;&gt;"",'练习记录'!$O$66&lt;&gt;""),'练习记录'!$C$66,"")</x:f>
      </x:c>
      <x:c r="D66" s="132" t="str">
        <x:f>IF(OR('练习记录'!$J$66&lt;&gt;"",'练习记录'!$O$66&lt;&gt;""),'练习记录'!$D$66,"")</x:f>
      </x:c>
      <x:c r="E66" s="116" t="str">
        <x:f>IF('练习记录'!$J$66&lt;&gt;"",'练习记录'!$J$66,"")</x:f>
      </x:c>
      <x:c r="F66" s="116" t="str">
        <x:f>IF('练习记录'!$O$66&lt;&gt;"",'练习记录'!$O$66,"")</x:f>
      </x:c>
      <x:c r="G66" s="116" t="str">
        <x:f>IF('练习记录'!$P$66&lt;&gt;"",'练习记录'!$P$66,"")</x:f>
      </x:c>
      <x:c r="H66" s="116" t="str">
        <x:f>IF('练习记录'!$Q$66&lt;&gt;"",'练习记录'!$Q$66,"")</x:f>
      </x:c>
      <x:c r="I66" s="115" t="n">
        <x:f>'练习记录'!$R$66</x:f>
        <x:v>0</x:v>
      </x:c>
      <x:c r="K66" s="115" t="str">
        <x:f>IF(OR(E66&lt;&gt;"",F66&lt;&gt;""),"剑雅"&amp;B66&amp;"-T"&amp;C66&amp;"-第"&amp;IF(D66="",1,D66)&amp;"次","")</x:f>
      </x:c>
      <x:c r="L66" s="116" t="str">
        <x:f>IF(E66&lt;&gt;"",E66,"")</x:f>
      </x:c>
      <x:c r="M66" s="116" t="str">
        <x:f>IF(F66&lt;&gt;"",F66,"")</x:f>
      </x:c>
      <x:c r="N66" s="116" t="str">
        <x:f>IF(G66&lt;&gt;"",G66,"")</x:f>
      </x:c>
    </x:row>
    <x:row r="67">
      <x:c r="A67" s="114" t="str">
        <x:f>IF(OR('练习记录'!$J$67&lt;&gt;"",'练习记录'!$O$67&lt;&gt;""),'练习记录'!$A$67,"")</x:f>
      </x:c>
      <x:c r="B67" s="132" t="str">
        <x:f>IF(OR('练习记录'!$J$67&lt;&gt;"",'练习记录'!$O$67&lt;&gt;""),IFERROR('练习记录'!$B$65,""),"")</x:f>
      </x:c>
      <x:c r="C67" s="132" t="str">
        <x:f>IF(OR('练习记录'!$J$67&lt;&gt;"",'练习记录'!$O$67&lt;&gt;""),'练习记录'!$C$67,"")</x:f>
      </x:c>
      <x:c r="D67" s="132" t="str">
        <x:f>IF(OR('练习记录'!$J$67&lt;&gt;"",'练习记录'!$O$67&lt;&gt;""),'练习记录'!$D$67,"")</x:f>
      </x:c>
      <x:c r="E67" s="116" t="str">
        <x:f>IF('练习记录'!$J$67&lt;&gt;"",'练习记录'!$J$67,"")</x:f>
      </x:c>
      <x:c r="F67" s="116" t="str">
        <x:f>IF('练习记录'!$O$67&lt;&gt;"",'练习记录'!$O$67,"")</x:f>
      </x:c>
      <x:c r="G67" s="116" t="str">
        <x:f>IF('练习记录'!$P$67&lt;&gt;"",'练习记录'!$P$67,"")</x:f>
      </x:c>
      <x:c r="H67" s="116" t="str">
        <x:f>IF('练习记录'!$Q$67&lt;&gt;"",'练习记录'!$Q$67,"")</x:f>
      </x:c>
      <x:c r="I67" s="115" t="n">
        <x:f>'练习记录'!$R$67</x:f>
        <x:v>0</x:v>
      </x:c>
      <x:c r="K67" s="115" t="str">
        <x:f>IF(OR(E67&lt;&gt;"",F67&lt;&gt;""),"剑雅"&amp;B67&amp;"-T"&amp;C67&amp;"-第"&amp;IF(D67="",1,D67)&amp;"次","")</x:f>
      </x:c>
      <x:c r="L67" s="116" t="str">
        <x:f>IF(E67&lt;&gt;"",E67,"")</x:f>
      </x:c>
      <x:c r="M67" s="116" t="str">
        <x:f>IF(F67&lt;&gt;"",F67,"")</x:f>
      </x:c>
      <x:c r="N67" s="116" t="str">
        <x:f>IF(G67&lt;&gt;"",G67,"")</x:f>
      </x:c>
    </x:row>
    <x:row r="68">
      <x:c r="A68" s="114" t="str">
        <x:f>IF(OR('练习记录'!$J$68&lt;&gt;"",'练习记录'!$O$68&lt;&gt;""),'练习记录'!$A$68,"")</x:f>
      </x:c>
      <x:c r="B68" s="132" t="str">
        <x:f>IF(OR('练习记录'!$J$68&lt;&gt;"",'练习记录'!$O$68&lt;&gt;""),IFERROR('练习记录'!$B$65,""),"")</x:f>
      </x:c>
      <x:c r="C68" s="132" t="str">
        <x:f>IF(OR('练习记录'!$J$68&lt;&gt;"",'练习记录'!$O$68&lt;&gt;""),'练习记录'!$C$68,"")</x:f>
      </x:c>
      <x:c r="D68" s="132" t="str">
        <x:f>IF(OR('练习记录'!$J$68&lt;&gt;"",'练习记录'!$O$68&lt;&gt;""),'练习记录'!$D$68,"")</x:f>
      </x:c>
      <x:c r="E68" s="116" t="str">
        <x:f>IF('练习记录'!$J$68&lt;&gt;"",'练习记录'!$J$68,"")</x:f>
      </x:c>
      <x:c r="F68" s="116" t="str">
        <x:f>IF('练习记录'!$O$68&lt;&gt;"",'练习记录'!$O$68,"")</x:f>
      </x:c>
      <x:c r="G68" s="116" t="str">
        <x:f>IF('练习记录'!$P$68&lt;&gt;"",'练习记录'!$P$68,"")</x:f>
      </x:c>
      <x:c r="H68" s="116" t="str">
        <x:f>IF('练习记录'!$Q$68&lt;&gt;"",'练习记录'!$Q$68,"")</x:f>
      </x:c>
      <x:c r="I68" s="115" t="n">
        <x:f>'练习记录'!$R$68</x:f>
        <x:v>0</x:v>
      </x:c>
      <x:c r="K68" s="115" t="str">
        <x:f>IF(OR(E68&lt;&gt;"",F68&lt;&gt;""),"剑雅"&amp;B68&amp;"-T"&amp;C68&amp;"-第"&amp;IF(D68="",1,D68)&amp;"次","")</x:f>
      </x:c>
      <x:c r="L68" s="116" t="str">
        <x:f>IF(E68&lt;&gt;"",E68,"")</x:f>
      </x:c>
      <x:c r="M68" s="116" t="str">
        <x:f>IF(F68&lt;&gt;"",F68,"")</x:f>
      </x:c>
      <x:c r="N68" s="116" t="str">
        <x:f>IF(G68&lt;&gt;"",G68,"")</x:f>
      </x:c>
    </x:row>
    <x:row r="69">
      <x:c r="A69" s="114" t="str">
        <x:f>IF(OR('练习记录'!$J$69&lt;&gt;"",'练习记录'!$O$69&lt;&gt;""),'练习记录'!$A$69,"")</x:f>
      </x:c>
      <x:c r="B69" s="132" t="str">
        <x:f>IF(OR('练习记录'!$J$69&lt;&gt;"",'练习记录'!$O$69&lt;&gt;""),IFERROR('练习记录'!$B$69,""),"")</x:f>
      </x:c>
      <x:c r="C69" s="132" t="str">
        <x:f>IF(OR('练习记录'!$J$69&lt;&gt;"",'练习记录'!$O$69&lt;&gt;""),'练习记录'!$C$69,"")</x:f>
      </x:c>
      <x:c r="D69" s="132" t="str">
        <x:f>IF(OR('练习记录'!$J$69&lt;&gt;"",'练习记录'!$O$69&lt;&gt;""),'练习记录'!$D$69,"")</x:f>
      </x:c>
      <x:c r="E69" s="116" t="str">
        <x:f>IF('练习记录'!$J$69&lt;&gt;"",'练习记录'!$J$69,"")</x:f>
      </x:c>
      <x:c r="F69" s="116" t="str">
        <x:f>IF('练习记录'!$O$69&lt;&gt;"",'练习记录'!$O$69,"")</x:f>
      </x:c>
      <x:c r="G69" s="116" t="str">
        <x:f>IF('练习记录'!$P$69&lt;&gt;"",'练习记录'!$P$69,"")</x:f>
      </x:c>
      <x:c r="H69" s="116" t="str">
        <x:f>IF('练习记录'!$Q$69&lt;&gt;"",'练习记录'!$Q$69,"")</x:f>
      </x:c>
      <x:c r="I69" s="115" t="n">
        <x:f>'练习记录'!$R$69</x:f>
        <x:v>0</x:v>
      </x:c>
      <x:c r="K69" s="115" t="str">
        <x:f>IF(OR(E69&lt;&gt;"",F69&lt;&gt;""),"剑雅"&amp;B69&amp;"-T"&amp;C69&amp;"-第"&amp;IF(D69="",1,D69)&amp;"次","")</x:f>
      </x:c>
      <x:c r="L69" s="116" t="str">
        <x:f>IF(E69&lt;&gt;"",E69,"")</x:f>
      </x:c>
      <x:c r="M69" s="116" t="str">
        <x:f>IF(F69&lt;&gt;"",F69,"")</x:f>
      </x:c>
      <x:c r="N69" s="116" t="str">
        <x:f>IF(G69&lt;&gt;"",G69,"")</x:f>
      </x:c>
    </x:row>
    <x:row r="70">
      <x:c r="A70" s="114" t="str">
        <x:f>IF(OR('练习记录'!$J$70&lt;&gt;"",'练习记录'!$O$70&lt;&gt;""),'练习记录'!$A$70,"")</x:f>
      </x:c>
      <x:c r="B70" s="132" t="str">
        <x:f>IF(OR('练习记录'!$J$70&lt;&gt;"",'练习记录'!$O$70&lt;&gt;""),IFERROR('练习记录'!$B$69,""),"")</x:f>
      </x:c>
      <x:c r="C70" s="132" t="str">
        <x:f>IF(OR('练习记录'!$J$70&lt;&gt;"",'练习记录'!$O$70&lt;&gt;""),'练习记录'!$C$70,"")</x:f>
      </x:c>
      <x:c r="D70" s="132" t="str">
        <x:f>IF(OR('练习记录'!$J$70&lt;&gt;"",'练习记录'!$O$70&lt;&gt;""),'练习记录'!$D$70,"")</x:f>
      </x:c>
      <x:c r="E70" s="116" t="str">
        <x:f>IF('练习记录'!$J$70&lt;&gt;"",'练习记录'!$J$70,"")</x:f>
      </x:c>
      <x:c r="F70" s="116" t="str">
        <x:f>IF('练习记录'!$O$70&lt;&gt;"",'练习记录'!$O$70,"")</x:f>
      </x:c>
      <x:c r="G70" s="116" t="str">
        <x:f>IF('练习记录'!$P$70&lt;&gt;"",'练习记录'!$P$70,"")</x:f>
      </x:c>
      <x:c r="H70" s="116" t="str">
        <x:f>IF('练习记录'!$Q$70&lt;&gt;"",'练习记录'!$Q$70,"")</x:f>
      </x:c>
      <x:c r="I70" s="115" t="n">
        <x:f>'练习记录'!$R$70</x:f>
        <x:v>0</x:v>
      </x:c>
      <x:c r="K70" s="115" t="str">
        <x:f>IF(OR(E70&lt;&gt;"",F70&lt;&gt;""),"剑雅"&amp;B70&amp;"-T"&amp;C70&amp;"-第"&amp;IF(D70="",1,D70)&amp;"次","")</x:f>
      </x:c>
      <x:c r="L70" s="116" t="str">
        <x:f>IF(E70&lt;&gt;"",E70,"")</x:f>
      </x:c>
      <x:c r="M70" s="116" t="str">
        <x:f>IF(F70&lt;&gt;"",F70,"")</x:f>
      </x:c>
      <x:c r="N70" s="116" t="str">
        <x:f>IF(G70&lt;&gt;"",G70,"")</x:f>
      </x:c>
    </x:row>
    <x:row r="71">
      <x:c r="A71" s="114" t="str">
        <x:f>IF(OR('练习记录'!$J$71&lt;&gt;"",'练习记录'!$O$71&lt;&gt;""),'练习记录'!$A$71,"")</x:f>
      </x:c>
      <x:c r="B71" s="132" t="str">
        <x:f>IF(OR('练习记录'!$J$71&lt;&gt;"",'练习记录'!$O$71&lt;&gt;""),IFERROR('练习记录'!$B$69,""),"")</x:f>
      </x:c>
      <x:c r="C71" s="132" t="str">
        <x:f>IF(OR('练习记录'!$J$71&lt;&gt;"",'练习记录'!$O$71&lt;&gt;""),'练习记录'!$C$71,"")</x:f>
      </x:c>
      <x:c r="D71" s="132" t="str">
        <x:f>IF(OR('练习记录'!$J$71&lt;&gt;"",'练习记录'!$O$71&lt;&gt;""),'练习记录'!$D$71,"")</x:f>
      </x:c>
      <x:c r="E71" s="116" t="str">
        <x:f>IF('练习记录'!$J$71&lt;&gt;"",'练习记录'!$J$71,"")</x:f>
      </x:c>
      <x:c r="F71" s="116" t="str">
        <x:f>IF('练习记录'!$O$71&lt;&gt;"",'练习记录'!$O$71,"")</x:f>
      </x:c>
      <x:c r="G71" s="116" t="str">
        <x:f>IF('练习记录'!$P$71&lt;&gt;"",'练习记录'!$P$71,"")</x:f>
      </x:c>
      <x:c r="H71" s="116" t="str">
        <x:f>IF('练习记录'!$Q$71&lt;&gt;"",'练习记录'!$Q$71,"")</x:f>
      </x:c>
      <x:c r="I71" s="115" t="n">
        <x:f>'练习记录'!$R$71</x:f>
        <x:v>0</x:v>
      </x:c>
      <x:c r="K71" s="115" t="str">
        <x:f>IF(OR(E71&lt;&gt;"",F71&lt;&gt;""),"剑雅"&amp;B71&amp;"-T"&amp;C71&amp;"-第"&amp;IF(D71="",1,D71)&amp;"次","")</x:f>
      </x:c>
      <x:c r="L71" s="116" t="str">
        <x:f>IF(E71&lt;&gt;"",E71,"")</x:f>
      </x:c>
      <x:c r="M71" s="116" t="str">
        <x:f>IF(F71&lt;&gt;"",F71,"")</x:f>
      </x:c>
      <x:c r="N71" s="116" t="str">
        <x:f>IF(G71&lt;&gt;"",G71,"")</x:f>
      </x:c>
    </x:row>
    <x:row r="72">
      <x:c r="A72" s="114" t="str">
        <x:f>IF(OR('练习记录'!$J$72&lt;&gt;"",'练习记录'!$O$72&lt;&gt;""),'练习记录'!$A$72,"")</x:f>
      </x:c>
      <x:c r="B72" s="132" t="str">
        <x:f>IF(OR('练习记录'!$J$72&lt;&gt;"",'练习记录'!$O$72&lt;&gt;""),IFERROR('练习记录'!$B$69,""),"")</x:f>
      </x:c>
      <x:c r="C72" s="132" t="str">
        <x:f>IF(OR('练习记录'!$J$72&lt;&gt;"",'练习记录'!$O$72&lt;&gt;""),'练习记录'!$C$72,"")</x:f>
      </x:c>
      <x:c r="D72" s="132" t="str">
        <x:f>IF(OR('练习记录'!$J$72&lt;&gt;"",'练习记录'!$O$72&lt;&gt;""),'练习记录'!$D$72,"")</x:f>
      </x:c>
      <x:c r="E72" s="116" t="str">
        <x:f>IF('练习记录'!$J$72&lt;&gt;"",'练习记录'!$J$72,"")</x:f>
      </x:c>
      <x:c r="F72" s="116" t="str">
        <x:f>IF('练习记录'!$O$72&lt;&gt;"",'练习记录'!$O$72,"")</x:f>
      </x:c>
      <x:c r="G72" s="116" t="str">
        <x:f>IF('练习记录'!$P$72&lt;&gt;"",'练习记录'!$P$72,"")</x:f>
      </x:c>
      <x:c r="H72" s="116" t="str">
        <x:f>IF('练习记录'!$Q$72&lt;&gt;"",'练习记录'!$Q$72,"")</x:f>
      </x:c>
      <x:c r="I72" s="115" t="n">
        <x:f>'练习记录'!$R$72</x:f>
        <x:v>0</x:v>
      </x:c>
      <x:c r="K72" s="115" t="str">
        <x:f>IF(OR(E72&lt;&gt;"",F72&lt;&gt;""),"剑雅"&amp;B72&amp;"-T"&amp;C72&amp;"-第"&amp;IF(D72="",1,D72)&amp;"次","")</x:f>
      </x:c>
      <x:c r="L72" s="116" t="str">
        <x:f>IF(E72&lt;&gt;"",E72,"")</x:f>
      </x:c>
      <x:c r="M72" s="116" t="str">
        <x:f>IF(F72&lt;&gt;"",F72,"")</x:f>
      </x:c>
      <x:c r="N72" s="116" t="str">
        <x:f>IF(G72&lt;&gt;"",G72,"")</x:f>
      </x:c>
    </x:row>
    <x:row r="73">
      <x:c r="A73" s="114" t="str">
        <x:f>IF(OR('练习记录'!$J$73&lt;&gt;"",'练习记录'!$O$73&lt;&gt;""),'练习记录'!$A$73,"")</x:f>
      </x:c>
      <x:c r="B73" s="132" t="str">
        <x:f>IF(OR('练习记录'!$J$73&lt;&gt;"",'练习记录'!$O$73&lt;&gt;""),IFERROR('练习记录'!$B$73,""),"")</x:f>
      </x:c>
      <x:c r="C73" s="132" t="str">
        <x:f>IF(OR('练习记录'!$J$73&lt;&gt;"",'练习记录'!$O$73&lt;&gt;""),'练习记录'!$C$73,"")</x:f>
      </x:c>
      <x:c r="D73" s="132" t="str">
        <x:f>IF(OR('练习记录'!$J$73&lt;&gt;"",'练习记录'!$O$73&lt;&gt;""),'练习记录'!$D$73,"")</x:f>
      </x:c>
      <x:c r="E73" s="116" t="str">
        <x:f>IF('练习记录'!$J$73&lt;&gt;"",'练习记录'!$J$73,"")</x:f>
      </x:c>
      <x:c r="F73" s="116" t="str">
        <x:f>IF('练习记录'!$O$73&lt;&gt;"",'练习记录'!$O$73,"")</x:f>
      </x:c>
      <x:c r="G73" s="116" t="str">
        <x:f>IF('练习记录'!$P$73&lt;&gt;"",'练习记录'!$P$73,"")</x:f>
      </x:c>
      <x:c r="H73" s="116" t="str">
        <x:f>IF('练习记录'!$Q$73&lt;&gt;"",'练习记录'!$Q$73,"")</x:f>
      </x:c>
      <x:c r="I73" s="115" t="n">
        <x:f>'练习记录'!$R$73</x:f>
        <x:v>0</x:v>
      </x:c>
      <x:c r="K73" s="115" t="str">
        <x:f>IF(OR(E73&lt;&gt;"",F73&lt;&gt;""),"剑雅"&amp;B73&amp;"-T"&amp;C73&amp;"-第"&amp;IF(D73="",1,D73)&amp;"次","")</x:f>
      </x:c>
      <x:c r="L73" s="116" t="str">
        <x:f>IF(E73&lt;&gt;"",E73,"")</x:f>
      </x:c>
      <x:c r="M73" s="116" t="str">
        <x:f>IF(F73&lt;&gt;"",F73,"")</x:f>
      </x:c>
      <x:c r="N73" s="116" t="str">
        <x:f>IF(G73&lt;&gt;"",G73,"")</x:f>
      </x:c>
    </x:row>
    <x:row r="74">
      <x:c r="A74" s="114" t="str">
        <x:f>IF(OR('练习记录'!$J$74&lt;&gt;"",'练习记录'!$O$74&lt;&gt;""),'练习记录'!$A$74,"")</x:f>
      </x:c>
      <x:c r="B74" s="132" t="str">
        <x:f>IF(OR('练习记录'!$J$74&lt;&gt;"",'练习记录'!$O$74&lt;&gt;""),IFERROR('练习记录'!$B$73,""),"")</x:f>
      </x:c>
      <x:c r="C74" s="132" t="str">
        <x:f>IF(OR('练习记录'!$J$74&lt;&gt;"",'练习记录'!$O$74&lt;&gt;""),'练习记录'!$C$74,"")</x:f>
      </x:c>
      <x:c r="D74" s="132" t="str">
        <x:f>IF(OR('练习记录'!$J$74&lt;&gt;"",'练习记录'!$O$74&lt;&gt;""),'练习记录'!$D$74,"")</x:f>
      </x:c>
      <x:c r="E74" s="116" t="str">
        <x:f>IF('练习记录'!$J$74&lt;&gt;"",'练习记录'!$J$74,"")</x:f>
      </x:c>
      <x:c r="F74" s="116" t="str">
        <x:f>IF('练习记录'!$O$74&lt;&gt;"",'练习记录'!$O$74,"")</x:f>
      </x:c>
      <x:c r="G74" s="116" t="str">
        <x:f>IF('练习记录'!$P$74&lt;&gt;"",'练习记录'!$P$74,"")</x:f>
      </x:c>
      <x:c r="H74" s="116" t="str">
        <x:f>IF('练习记录'!$Q$74&lt;&gt;"",'练习记录'!$Q$74,"")</x:f>
      </x:c>
      <x:c r="I74" s="115" t="n">
        <x:f>'练习记录'!$R$74</x:f>
        <x:v>0</x:v>
      </x:c>
      <x:c r="K74" s="115" t="str">
        <x:f>IF(OR(E74&lt;&gt;"",F74&lt;&gt;""),"剑雅"&amp;B74&amp;"-T"&amp;C74&amp;"-第"&amp;IF(D74="",1,D74)&amp;"次","")</x:f>
      </x:c>
      <x:c r="L74" s="116" t="str">
        <x:f>IF(E74&lt;&gt;"",E74,"")</x:f>
      </x:c>
      <x:c r="M74" s="116" t="str">
        <x:f>IF(F74&lt;&gt;"",F74,"")</x:f>
      </x:c>
      <x:c r="N74" s="116" t="str">
        <x:f>IF(G74&lt;&gt;"",G74,"")</x:f>
      </x:c>
    </x:row>
    <x:row r="75">
      <x:c r="A75" s="114" t="str">
        <x:f>IF(OR('练习记录'!$J$75&lt;&gt;"",'练习记录'!$O$75&lt;&gt;""),'练习记录'!$A$75,"")</x:f>
      </x:c>
      <x:c r="B75" s="132" t="str">
        <x:f>IF(OR('练习记录'!$J$75&lt;&gt;"",'练习记录'!$O$75&lt;&gt;""),IFERROR('练习记录'!$B$73,""),"")</x:f>
      </x:c>
      <x:c r="C75" s="132" t="str">
        <x:f>IF(OR('练习记录'!$J$75&lt;&gt;"",'练习记录'!$O$75&lt;&gt;""),'练习记录'!$C$75,"")</x:f>
      </x:c>
      <x:c r="D75" s="132" t="str">
        <x:f>IF(OR('练习记录'!$J$75&lt;&gt;"",'练习记录'!$O$75&lt;&gt;""),'练习记录'!$D$75,"")</x:f>
      </x:c>
      <x:c r="E75" s="116" t="str">
        <x:f>IF('练习记录'!$J$75&lt;&gt;"",'练习记录'!$J$75,"")</x:f>
      </x:c>
      <x:c r="F75" s="116" t="str">
        <x:f>IF('练习记录'!$O$75&lt;&gt;"",'练习记录'!$O$75,"")</x:f>
      </x:c>
      <x:c r="G75" s="116" t="str">
        <x:f>IF('练习记录'!$P$75&lt;&gt;"",'练习记录'!$P$75,"")</x:f>
      </x:c>
      <x:c r="H75" s="116" t="str">
        <x:f>IF('练习记录'!$Q$75&lt;&gt;"",'练习记录'!$Q$75,"")</x:f>
      </x:c>
      <x:c r="I75" s="115" t="n">
        <x:f>'练习记录'!$R$75</x:f>
        <x:v>0</x:v>
      </x:c>
      <x:c r="K75" s="115" t="str">
        <x:f>IF(OR(E75&lt;&gt;"",F75&lt;&gt;""),"剑雅"&amp;B75&amp;"-T"&amp;C75&amp;"-第"&amp;IF(D75="",1,D75)&amp;"次","")</x:f>
      </x:c>
      <x:c r="L75" s="116" t="str">
        <x:f>IF(E75&lt;&gt;"",E75,"")</x:f>
      </x:c>
      <x:c r="M75" s="116" t="str">
        <x:f>IF(F75&lt;&gt;"",F75,"")</x:f>
      </x:c>
      <x:c r="N75" s="116" t="str">
        <x:f>IF(G75&lt;&gt;"",G75,"")</x:f>
      </x:c>
    </x:row>
    <x:row r="76">
      <x:c r="A76" s="114" t="str">
        <x:f>IF(OR('练习记录'!$J$76&lt;&gt;"",'练习记录'!$O$76&lt;&gt;""),'练习记录'!$A$76,"")</x:f>
      </x:c>
      <x:c r="B76" s="132" t="str">
        <x:f>IF(OR('练习记录'!$J$76&lt;&gt;"",'练习记录'!$O$76&lt;&gt;""),IFERROR('练习记录'!$B$73,""),"")</x:f>
      </x:c>
      <x:c r="C76" s="132" t="str">
        <x:f>IF(OR('练习记录'!$J$76&lt;&gt;"",'练习记录'!$O$76&lt;&gt;""),'练习记录'!$C$76,"")</x:f>
      </x:c>
      <x:c r="D76" s="132" t="str">
        <x:f>IF(OR('练习记录'!$J$76&lt;&gt;"",'练习记录'!$O$76&lt;&gt;""),'练习记录'!$D$76,"")</x:f>
      </x:c>
      <x:c r="E76" s="116" t="str">
        <x:f>IF('练习记录'!$J$76&lt;&gt;"",'练习记录'!$J$76,"")</x:f>
      </x:c>
      <x:c r="F76" s="116" t="str">
        <x:f>IF('练习记录'!$O$76&lt;&gt;"",'练习记录'!$O$76,"")</x:f>
      </x:c>
      <x:c r="G76" s="116" t="str">
        <x:f>IF('练习记录'!$P$76&lt;&gt;"",'练习记录'!$P$76,"")</x:f>
      </x:c>
      <x:c r="H76" s="116" t="str">
        <x:f>IF('练习记录'!$Q$76&lt;&gt;"",'练习记录'!$Q$76,"")</x:f>
      </x:c>
      <x:c r="I76" s="115" t="n">
        <x:f>'练习记录'!$R$76</x:f>
        <x:v>0</x:v>
      </x:c>
      <x:c r="K76" s="115" t="str">
        <x:f>IF(OR(E76&lt;&gt;"",F76&lt;&gt;""),"剑雅"&amp;B76&amp;"-T"&amp;C76&amp;"-第"&amp;IF(D76="",1,D76)&amp;"次","")</x:f>
      </x:c>
      <x:c r="L76" s="116" t="str">
        <x:f>IF(E76&lt;&gt;"",E76,"")</x:f>
      </x:c>
      <x:c r="M76" s="116" t="str">
        <x:f>IF(F76&lt;&gt;"",F76,"")</x:f>
      </x:c>
      <x:c r="N76" s="116" t="str">
        <x:f>IF(G76&lt;&gt;"",G76,"")</x:f>
      </x:c>
    </x:row>
    <x:row r="77">
      <x:c r="A77" s="114" t="str">
        <x:f>IF(OR('练习记录'!$J$77&lt;&gt;"",'练习记录'!$O$77&lt;&gt;""),'练习记录'!$A$77,"")</x:f>
      </x:c>
      <x:c r="B77" s="132" t="str">
        <x:f>IF(OR('练习记录'!$J$77&lt;&gt;"",'练习记录'!$O$77&lt;&gt;""),IFERROR('练习记录'!$B$77,""),"")</x:f>
      </x:c>
      <x:c r="C77" s="132" t="str">
        <x:f>IF(OR('练习记录'!$J$77&lt;&gt;"",'练习记录'!$O$77&lt;&gt;""),'练习记录'!$C$77,"")</x:f>
      </x:c>
      <x:c r="D77" s="132" t="str">
        <x:f>IF(OR('练习记录'!$J$77&lt;&gt;"",'练习记录'!$O$77&lt;&gt;""),'练习记录'!$D$77,"")</x:f>
      </x:c>
      <x:c r="E77" s="116" t="str">
        <x:f>IF('练习记录'!$J$77&lt;&gt;"",'练习记录'!$J$77,"")</x:f>
      </x:c>
      <x:c r="F77" s="116" t="str">
        <x:f>IF('练习记录'!$O$77&lt;&gt;"",'练习记录'!$O$77,"")</x:f>
      </x:c>
      <x:c r="G77" s="116" t="str">
        <x:f>IF('练习记录'!$P$77&lt;&gt;"",'练习记录'!$P$77,"")</x:f>
      </x:c>
      <x:c r="H77" s="116" t="str">
        <x:f>IF('练习记录'!$Q$77&lt;&gt;"",'练习记录'!$Q$77,"")</x:f>
      </x:c>
      <x:c r="I77" s="115" t="n">
        <x:f>'练习记录'!$R$77</x:f>
        <x:v>0</x:v>
      </x:c>
      <x:c r="K77" s="115" t="str">
        <x:f>IF(OR(E77&lt;&gt;"",F77&lt;&gt;""),"剑雅"&amp;B77&amp;"-T"&amp;C77&amp;"-第"&amp;IF(D77="",1,D77)&amp;"次","")</x:f>
      </x:c>
      <x:c r="L77" s="116" t="str">
        <x:f>IF(E77&lt;&gt;"",E77,"")</x:f>
      </x:c>
      <x:c r="M77" s="116" t="str">
        <x:f>IF(F77&lt;&gt;"",F77,"")</x:f>
      </x:c>
      <x:c r="N77" s="116" t="str">
        <x:f>IF(G77&lt;&gt;"",G77,"")</x:f>
      </x:c>
    </x:row>
    <x:row r="78">
      <x:c r="A78" s="114" t="str">
        <x:f>IF(OR('练习记录'!$J$78&lt;&gt;"",'练习记录'!$O$78&lt;&gt;""),'练习记录'!$A$78,"")</x:f>
      </x:c>
      <x:c r="B78" s="132" t="str">
        <x:f>IF(OR('练习记录'!$J$78&lt;&gt;"",'练习记录'!$O$78&lt;&gt;""),IFERROR('练习记录'!$B$77,""),"")</x:f>
      </x:c>
      <x:c r="C78" s="132" t="str">
        <x:f>IF(OR('练习记录'!$J$78&lt;&gt;"",'练习记录'!$O$78&lt;&gt;""),'练习记录'!$C$78,"")</x:f>
      </x:c>
      <x:c r="D78" s="132" t="str">
        <x:f>IF(OR('练习记录'!$J$78&lt;&gt;"",'练习记录'!$O$78&lt;&gt;""),'练习记录'!$D$78,"")</x:f>
      </x:c>
      <x:c r="E78" s="116" t="str">
        <x:f>IF('练习记录'!$J$78&lt;&gt;"",'练习记录'!$J$78,"")</x:f>
      </x:c>
      <x:c r="F78" s="116" t="str">
        <x:f>IF('练习记录'!$O$78&lt;&gt;"",'练习记录'!$O$78,"")</x:f>
      </x:c>
      <x:c r="G78" s="116" t="str">
        <x:f>IF('练习记录'!$P$78&lt;&gt;"",'练习记录'!$P$78,"")</x:f>
      </x:c>
      <x:c r="H78" s="116" t="str">
        <x:f>IF('练习记录'!$Q$78&lt;&gt;"",'练习记录'!$Q$78,"")</x:f>
      </x:c>
      <x:c r="I78" s="115" t="n">
        <x:f>'练习记录'!$R$78</x:f>
        <x:v>0</x:v>
      </x:c>
      <x:c r="K78" s="115" t="str">
        <x:f>IF(OR(E78&lt;&gt;"",F78&lt;&gt;""),"剑雅"&amp;B78&amp;"-T"&amp;C78&amp;"-第"&amp;IF(D78="",1,D78)&amp;"次","")</x:f>
      </x:c>
      <x:c r="L78" s="116" t="str">
        <x:f>IF(E78&lt;&gt;"",E78,"")</x:f>
      </x:c>
      <x:c r="M78" s="116" t="str">
        <x:f>IF(F78&lt;&gt;"",F78,"")</x:f>
      </x:c>
      <x:c r="N78" s="116" t="str">
        <x:f>IF(G78&lt;&gt;"",G78,"")</x:f>
      </x:c>
    </x:row>
    <x:row r="79">
      <x:c r="A79" s="114" t="str">
        <x:f>IF(OR('练习记录'!$J$79&lt;&gt;"",'练习记录'!$O$79&lt;&gt;""),'练习记录'!$A$79,"")</x:f>
      </x:c>
      <x:c r="B79" s="132" t="str">
        <x:f>IF(OR('练习记录'!$J$79&lt;&gt;"",'练习记录'!$O$79&lt;&gt;""),IFERROR('练习记录'!$B$77,""),"")</x:f>
      </x:c>
      <x:c r="C79" s="132" t="str">
        <x:f>IF(OR('练习记录'!$J$79&lt;&gt;"",'练习记录'!$O$79&lt;&gt;""),'练习记录'!$C$79,"")</x:f>
      </x:c>
      <x:c r="D79" s="132" t="str">
        <x:f>IF(OR('练习记录'!$J$79&lt;&gt;"",'练习记录'!$O$79&lt;&gt;""),'练习记录'!$D$79,"")</x:f>
      </x:c>
      <x:c r="E79" s="116" t="str">
        <x:f>IF('练习记录'!$J$79&lt;&gt;"",'练习记录'!$J$79,"")</x:f>
      </x:c>
      <x:c r="F79" s="116" t="str">
        <x:f>IF('练习记录'!$O$79&lt;&gt;"",'练习记录'!$O$79,"")</x:f>
      </x:c>
      <x:c r="G79" s="116" t="str">
        <x:f>IF('练习记录'!$P$79&lt;&gt;"",'练习记录'!$P$79,"")</x:f>
      </x:c>
      <x:c r="H79" s="116" t="str">
        <x:f>IF('练习记录'!$Q$79&lt;&gt;"",'练习记录'!$Q$79,"")</x:f>
      </x:c>
      <x:c r="I79" s="115" t="n">
        <x:f>'练习记录'!$R$79</x:f>
        <x:v>0</x:v>
      </x:c>
      <x:c r="K79" s="115" t="str">
        <x:f>IF(OR(E79&lt;&gt;"",F79&lt;&gt;""),"剑雅"&amp;B79&amp;"-T"&amp;C79&amp;"-第"&amp;IF(D79="",1,D79)&amp;"次","")</x:f>
      </x:c>
      <x:c r="L79" s="116" t="str">
        <x:f>IF(E79&lt;&gt;"",E79,"")</x:f>
      </x:c>
      <x:c r="M79" s="116" t="str">
        <x:f>IF(F79&lt;&gt;"",F79,"")</x:f>
      </x:c>
      <x:c r="N79" s="116" t="str">
        <x:f>IF(G79&lt;&gt;"",G79,"")</x:f>
      </x:c>
    </x:row>
    <x:row r="80">
      <x:c r="A80" s="114" t="str">
        <x:f>IF(OR('练习记录'!$J$80&lt;&gt;"",'练习记录'!$O$80&lt;&gt;""),'练习记录'!$A$80,"")</x:f>
      </x:c>
      <x:c r="B80" s="132" t="str">
        <x:f>IF(OR('练习记录'!$J$80&lt;&gt;"",'练习记录'!$O$80&lt;&gt;""),IFERROR('练习记录'!$B$77,""),"")</x:f>
      </x:c>
      <x:c r="C80" s="132" t="str">
        <x:f>IF(OR('练习记录'!$J$80&lt;&gt;"",'练习记录'!$O$80&lt;&gt;""),'练习记录'!$C$80,"")</x:f>
      </x:c>
      <x:c r="D80" s="132" t="str">
        <x:f>IF(OR('练习记录'!$J$80&lt;&gt;"",'练习记录'!$O$80&lt;&gt;""),'练习记录'!$D$80,"")</x:f>
      </x:c>
      <x:c r="E80" s="116" t="str">
        <x:f>IF('练习记录'!$J$80&lt;&gt;"",'练习记录'!$J$80,"")</x:f>
      </x:c>
      <x:c r="F80" s="116" t="str">
        <x:f>IF('练习记录'!$O$80&lt;&gt;"",'练习记录'!$O$80,"")</x:f>
      </x:c>
      <x:c r="G80" s="116" t="str">
        <x:f>IF('练习记录'!$P$80&lt;&gt;"",'练习记录'!$P$80,"")</x:f>
      </x:c>
      <x:c r="H80" s="116" t="str">
        <x:f>IF('练习记录'!$Q$80&lt;&gt;"",'练习记录'!$Q$80,"")</x:f>
      </x:c>
      <x:c r="I80" s="115" t="n">
        <x:f>'练习记录'!$R$80</x:f>
        <x:v>0</x:v>
      </x:c>
      <x:c r="K80" s="115" t="str">
        <x:f>IF(OR(E80&lt;&gt;"",F80&lt;&gt;""),"剑雅"&amp;B80&amp;"-T"&amp;C80&amp;"-第"&amp;IF(D80="",1,D80)&amp;"次","")</x:f>
      </x:c>
      <x:c r="L80" s="116" t="str">
        <x:f>IF(E80&lt;&gt;"",E80,"")</x:f>
      </x:c>
      <x:c r="M80" s="116" t="str">
        <x:f>IF(F80&lt;&gt;"",F80,"")</x:f>
      </x:c>
      <x:c r="N80" s="116" t="str">
        <x:f>IF(G80&lt;&gt;"",G80,"")</x:f>
      </x:c>
    </x:row>
    <x:row r="81">
      <x:c r="A81" s="114" t="str">
        <x:f>IF(OR('练习记录'!$J$81&lt;&gt;"",'练习记录'!$O$81&lt;&gt;""),'练习记录'!$A$81,"")</x:f>
      </x:c>
      <x:c r="B81" s="132" t="str">
        <x:f>IF(OR('练习记录'!$J$81&lt;&gt;"",'练习记录'!$O$81&lt;&gt;""),IFERROR('练习记录'!$B$81,""),"")</x:f>
      </x:c>
      <x:c r="C81" s="132" t="str">
        <x:f>IF(OR('练习记录'!$J$81&lt;&gt;"",'练习记录'!$O$81&lt;&gt;""),'练习记录'!$C$81,"")</x:f>
      </x:c>
      <x:c r="D81" s="132" t="str">
        <x:f>IF(OR('练习记录'!$J$81&lt;&gt;"",'练习记录'!$O$81&lt;&gt;""),'练习记录'!$D$81,"")</x:f>
      </x:c>
      <x:c r="E81" s="116" t="str">
        <x:f>IF('练习记录'!$J$81&lt;&gt;"",'练习记录'!$J$81,"")</x:f>
      </x:c>
      <x:c r="F81" s="116" t="str">
        <x:f>IF('练习记录'!$O$81&lt;&gt;"",'练习记录'!$O$81,"")</x:f>
      </x:c>
      <x:c r="G81" s="116" t="str">
        <x:f>IF('练习记录'!$P$81&lt;&gt;"",'练习记录'!$P$81,"")</x:f>
      </x:c>
      <x:c r="H81" s="116" t="str">
        <x:f>IF('练习记录'!$Q$81&lt;&gt;"",'练习记录'!$Q$81,"")</x:f>
      </x:c>
      <x:c r="I81" s="115" t="n">
        <x:f>'练习记录'!$R$81</x:f>
        <x:v>0</x:v>
      </x:c>
      <x:c r="K81" s="115" t="str">
        <x:f>IF(OR(E81&lt;&gt;"",F81&lt;&gt;""),"剑雅"&amp;B81&amp;"-T"&amp;C81&amp;"-第"&amp;IF(D81="",1,D81)&amp;"次","")</x:f>
      </x:c>
      <x:c r="L81" s="116" t="str">
        <x:f>IF(E81&lt;&gt;"",E81,"")</x:f>
      </x:c>
      <x:c r="M81" s="116" t="str">
        <x:f>IF(F81&lt;&gt;"",F81,"")</x:f>
      </x:c>
      <x:c r="N81" s="116" t="str">
        <x:f>IF(G81&lt;&gt;"",G81,"")</x:f>
      </x:c>
    </x:row>
    <x:row r="82">
      <x:c r="A82" s="114" t="str">
        <x:f>IF(OR('练习记录'!$J$82&lt;&gt;"",'练习记录'!$O$82&lt;&gt;""),'练习记录'!$A$82,"")</x:f>
      </x:c>
      <x:c r="B82" s="132" t="str">
        <x:f>IF(OR('练习记录'!$J$82&lt;&gt;"",'练习记录'!$O$82&lt;&gt;""),IFERROR('练习记录'!$B$81,""),"")</x:f>
      </x:c>
      <x:c r="C82" s="132" t="str">
        <x:f>IF(OR('练习记录'!$J$82&lt;&gt;"",'练习记录'!$O$82&lt;&gt;""),'练习记录'!$C$82,"")</x:f>
      </x:c>
      <x:c r="D82" s="132" t="str">
        <x:f>IF(OR('练习记录'!$J$82&lt;&gt;"",'练习记录'!$O$82&lt;&gt;""),'练习记录'!$D$82,"")</x:f>
      </x:c>
      <x:c r="E82" s="116" t="str">
        <x:f>IF('练习记录'!$J$82&lt;&gt;"",'练习记录'!$J$82,"")</x:f>
      </x:c>
      <x:c r="F82" s="116" t="str">
        <x:f>IF('练习记录'!$O$82&lt;&gt;"",'练习记录'!$O$82,"")</x:f>
      </x:c>
      <x:c r="G82" s="116" t="str">
        <x:f>IF('练习记录'!$P$82&lt;&gt;"",'练习记录'!$P$82,"")</x:f>
      </x:c>
      <x:c r="H82" s="116" t="str">
        <x:f>IF('练习记录'!$Q$82&lt;&gt;"",'练习记录'!$Q$82,"")</x:f>
      </x:c>
      <x:c r="I82" s="115" t="n">
        <x:f>'练习记录'!$R$82</x:f>
        <x:v>0</x:v>
      </x:c>
      <x:c r="K82" s="115" t="str">
        <x:f>IF(OR(E82&lt;&gt;"",F82&lt;&gt;""),"剑雅"&amp;B82&amp;"-T"&amp;C82&amp;"-第"&amp;IF(D82="",1,D82)&amp;"次","")</x:f>
      </x:c>
      <x:c r="L82" s="116" t="str">
        <x:f>IF(E82&lt;&gt;"",E82,"")</x:f>
      </x:c>
      <x:c r="M82" s="116" t="str">
        <x:f>IF(F82&lt;&gt;"",F82,"")</x:f>
      </x:c>
      <x:c r="N82" s="116" t="str">
        <x:f>IF(G82&lt;&gt;"",G82,"")</x:f>
      </x:c>
    </x:row>
    <x:row r="83">
      <x:c r="A83" s="114" t="str">
        <x:f>IF(OR('练习记录'!$J$83&lt;&gt;"",'练习记录'!$O$83&lt;&gt;""),'练习记录'!$A$83,"")</x:f>
      </x:c>
      <x:c r="B83" s="132" t="str">
        <x:f>IF(OR('练习记录'!$J$83&lt;&gt;"",'练习记录'!$O$83&lt;&gt;""),IFERROR('练习记录'!$B$81,""),"")</x:f>
      </x:c>
      <x:c r="C83" s="132" t="str">
        <x:f>IF(OR('练习记录'!$J$83&lt;&gt;"",'练习记录'!$O$83&lt;&gt;""),'练习记录'!$C$83,"")</x:f>
      </x:c>
      <x:c r="D83" s="132" t="str">
        <x:f>IF(OR('练习记录'!$J$83&lt;&gt;"",'练习记录'!$O$83&lt;&gt;""),'练习记录'!$D$83,"")</x:f>
      </x:c>
      <x:c r="E83" s="116" t="str">
        <x:f>IF('练习记录'!$J$83&lt;&gt;"",'练习记录'!$J$83,"")</x:f>
      </x:c>
      <x:c r="F83" s="116" t="str">
        <x:f>IF('练习记录'!$O$83&lt;&gt;"",'练习记录'!$O$83,"")</x:f>
      </x:c>
      <x:c r="G83" s="116" t="str">
        <x:f>IF('练习记录'!$P$83&lt;&gt;"",'练习记录'!$P$83,"")</x:f>
      </x:c>
      <x:c r="H83" s="116" t="str">
        <x:f>IF('练习记录'!$Q$83&lt;&gt;"",'练习记录'!$Q$83,"")</x:f>
      </x:c>
      <x:c r="I83" s="115" t="n">
        <x:f>'练习记录'!$R$83</x:f>
        <x:v>0</x:v>
      </x:c>
      <x:c r="K83" s="115" t="str">
        <x:f>IF(OR(E83&lt;&gt;"",F83&lt;&gt;""),"剑雅"&amp;B83&amp;"-T"&amp;C83&amp;"-第"&amp;IF(D83="",1,D83)&amp;"次","")</x:f>
      </x:c>
      <x:c r="L83" s="116" t="str">
        <x:f>IF(E83&lt;&gt;"",E83,"")</x:f>
      </x:c>
      <x:c r="M83" s="116" t="str">
        <x:f>IF(F83&lt;&gt;"",F83,"")</x:f>
      </x:c>
      <x:c r="N83" s="116" t="str">
        <x:f>IF(G83&lt;&gt;"",G83,"")</x:f>
      </x:c>
    </x:row>
    <x:row r="84">
      <x:c r="A84" s="114" t="str">
        <x:f>IF(OR('练习记录'!$J$84&lt;&gt;"",'练习记录'!$O$84&lt;&gt;""),'练习记录'!$A$84,"")</x:f>
      </x:c>
      <x:c r="B84" s="132" t="str">
        <x:f>IF(OR('练习记录'!$J$84&lt;&gt;"",'练习记录'!$O$84&lt;&gt;""),IFERROR('练习记录'!$B$81,""),"")</x:f>
      </x:c>
      <x:c r="C84" s="132" t="str">
        <x:f>IF(OR('练习记录'!$J$84&lt;&gt;"",'练习记录'!$O$84&lt;&gt;""),'练习记录'!$C$84,"")</x:f>
      </x:c>
      <x:c r="D84" s="132" t="str">
        <x:f>IF(OR('练习记录'!$J$84&lt;&gt;"",'练习记录'!$O$84&lt;&gt;""),'练习记录'!$D$84,"")</x:f>
      </x:c>
      <x:c r="E84" s="116" t="str">
        <x:f>IF('练习记录'!$J$84&lt;&gt;"",'练习记录'!$J$84,"")</x:f>
      </x:c>
      <x:c r="F84" s="116" t="str">
        <x:f>IF('练习记录'!$O$84&lt;&gt;"",'练习记录'!$O$84,"")</x:f>
      </x:c>
      <x:c r="G84" s="116" t="str">
        <x:f>IF('练习记录'!$P$84&lt;&gt;"",'练习记录'!$P$84,"")</x:f>
      </x:c>
      <x:c r="H84" s="116" t="str">
        <x:f>IF('练习记录'!$Q$84&lt;&gt;"",'练习记录'!$Q$84,"")</x:f>
      </x:c>
      <x:c r="I84" s="115" t="n">
        <x:f>'练习记录'!$R$84</x:f>
        <x:v>0</x:v>
      </x:c>
      <x:c r="K84" s="115" t="str">
        <x:f>IF(OR(E84&lt;&gt;"",F84&lt;&gt;""),"剑雅"&amp;B84&amp;"-T"&amp;C84&amp;"-第"&amp;IF(D84="",1,D84)&amp;"次","")</x:f>
      </x:c>
      <x:c r="L84" s="116" t="str">
        <x:f>IF(E84&lt;&gt;"",E84,"")</x:f>
      </x:c>
      <x:c r="M84" s="116" t="str">
        <x:f>IF(F84&lt;&gt;"",F84,"")</x:f>
      </x:c>
      <x:c r="N84" s="116" t="str">
        <x:f>IF(G84&lt;&gt;"",G84,"")</x:f>
      </x:c>
    </x:row>
    <x:row r="85">
      <x:c r="A85" s="114" t="str">
        <x:f>IF(OR('练习记录'!$J$85&lt;&gt;"",'练习记录'!$O$85&lt;&gt;""),'练习记录'!$A$85,"")</x:f>
      </x:c>
      <x:c r="B85" s="132" t="str">
        <x:f>IF(OR('练习记录'!$J$85&lt;&gt;"",'练习记录'!$O$85&lt;&gt;""),IFERROR('练习记录'!$B$85,""),"")</x:f>
      </x:c>
      <x:c r="C85" s="132" t="str">
        <x:f>IF(OR('练习记录'!$J$85&lt;&gt;"",'练习记录'!$O$85&lt;&gt;""),'练习记录'!$C$85,"")</x:f>
      </x:c>
      <x:c r="D85" s="132" t="str">
        <x:f>IF(OR('练习记录'!$J$85&lt;&gt;"",'练习记录'!$O$85&lt;&gt;""),'练习记录'!$D$85,"")</x:f>
      </x:c>
      <x:c r="E85" s="116" t="str">
        <x:f>IF('练习记录'!$J$85&lt;&gt;"",'练习记录'!$J$85,"")</x:f>
      </x:c>
      <x:c r="F85" s="116" t="str">
        <x:f>IF('练习记录'!$O$85&lt;&gt;"",'练习记录'!$O$85,"")</x:f>
      </x:c>
      <x:c r="G85" s="116" t="str">
        <x:f>IF('练习记录'!$P$85&lt;&gt;"",'练习记录'!$P$85,"")</x:f>
      </x:c>
      <x:c r="H85" s="116" t="str">
        <x:f>IF('练习记录'!$Q$85&lt;&gt;"",'练习记录'!$Q$85,"")</x:f>
      </x:c>
      <x:c r="I85" s="115" t="n">
        <x:f>'练习记录'!$R$85</x:f>
        <x:v>0</x:v>
      </x:c>
      <x:c r="K85" s="115" t="str">
        <x:f>IF(OR(E85&lt;&gt;"",F85&lt;&gt;""),"剑雅"&amp;B85&amp;"-T"&amp;C85&amp;"-第"&amp;IF(D85="",1,D85)&amp;"次","")</x:f>
      </x:c>
      <x:c r="L85" s="116" t="str">
        <x:f>IF(E85&lt;&gt;"",E85,"")</x:f>
      </x:c>
      <x:c r="M85" s="116" t="str">
        <x:f>IF(F85&lt;&gt;"",F85,"")</x:f>
      </x:c>
      <x:c r="N85" s="116" t="str">
        <x:f>IF(G85&lt;&gt;"",G85,"")</x:f>
      </x:c>
    </x:row>
    <x:row r="86">
      <x:c r="A86" s="114" t="str">
        <x:f>IF(OR('练习记录'!$J$86&lt;&gt;"",'练习记录'!$O$86&lt;&gt;""),'练习记录'!$A$86,"")</x:f>
      </x:c>
      <x:c r="B86" s="132" t="str">
        <x:f>IF(OR('练习记录'!$J$86&lt;&gt;"",'练习记录'!$O$86&lt;&gt;""),IFERROR('练习记录'!$B$85,""),"")</x:f>
      </x:c>
      <x:c r="C86" s="132" t="str">
        <x:f>IF(OR('练习记录'!$J$86&lt;&gt;"",'练习记录'!$O$86&lt;&gt;""),'练习记录'!$C$86,"")</x:f>
      </x:c>
      <x:c r="D86" s="132" t="str">
        <x:f>IF(OR('练习记录'!$J$86&lt;&gt;"",'练习记录'!$O$86&lt;&gt;""),'练习记录'!$D$86,"")</x:f>
      </x:c>
      <x:c r="E86" s="116" t="str">
        <x:f>IF('练习记录'!$J$86&lt;&gt;"",'练习记录'!$J$86,"")</x:f>
      </x:c>
      <x:c r="F86" s="116" t="str">
        <x:f>IF('练习记录'!$O$86&lt;&gt;"",'练习记录'!$O$86,"")</x:f>
      </x:c>
      <x:c r="G86" s="116" t="str">
        <x:f>IF('练习记录'!$P$86&lt;&gt;"",'练习记录'!$P$86,"")</x:f>
      </x:c>
      <x:c r="H86" s="116" t="str">
        <x:f>IF('练习记录'!$Q$86&lt;&gt;"",'练习记录'!$Q$86,"")</x:f>
      </x:c>
      <x:c r="I86" s="115" t="n">
        <x:f>'练习记录'!$R$86</x:f>
        <x:v>0</x:v>
      </x:c>
      <x:c r="K86" s="115" t="str">
        <x:f>IF(OR(E86&lt;&gt;"",F86&lt;&gt;""),"剑雅"&amp;B86&amp;"-T"&amp;C86&amp;"-第"&amp;IF(D86="",1,D86)&amp;"次","")</x:f>
      </x:c>
      <x:c r="L86" s="116" t="str">
        <x:f>IF(E86&lt;&gt;"",E86,"")</x:f>
      </x:c>
      <x:c r="M86" s="116" t="str">
        <x:f>IF(F86&lt;&gt;"",F86,"")</x:f>
      </x:c>
      <x:c r="N86" s="116" t="str">
        <x:f>IF(G86&lt;&gt;"",G86,"")</x:f>
      </x:c>
    </x:row>
    <x:row r="87">
      <x:c r="A87" s="114" t="str">
        <x:f>IF(OR('练习记录'!$J$87&lt;&gt;"",'练习记录'!$O$87&lt;&gt;""),'练习记录'!$A$87,"")</x:f>
      </x:c>
      <x:c r="B87" s="132" t="str">
        <x:f>IF(OR('练习记录'!$J$87&lt;&gt;"",'练习记录'!$O$87&lt;&gt;""),IFERROR('练习记录'!$B$85,""),"")</x:f>
      </x:c>
      <x:c r="C87" s="132" t="str">
        <x:f>IF(OR('练习记录'!$J$87&lt;&gt;"",'练习记录'!$O$87&lt;&gt;""),'练习记录'!$C$87,"")</x:f>
      </x:c>
      <x:c r="D87" s="132" t="str">
        <x:f>IF(OR('练习记录'!$J$87&lt;&gt;"",'练习记录'!$O$87&lt;&gt;""),'练习记录'!$D$87,"")</x:f>
      </x:c>
      <x:c r="E87" s="116" t="str">
        <x:f>IF('练习记录'!$J$87&lt;&gt;"",'练习记录'!$J$87,"")</x:f>
      </x:c>
      <x:c r="F87" s="116" t="str">
        <x:f>IF('练习记录'!$O$87&lt;&gt;"",'练习记录'!$O$87,"")</x:f>
      </x:c>
      <x:c r="G87" s="116" t="str">
        <x:f>IF('练习记录'!$P$87&lt;&gt;"",'练习记录'!$P$87,"")</x:f>
      </x:c>
      <x:c r="H87" s="116" t="str">
        <x:f>IF('练习记录'!$Q$87&lt;&gt;"",'练习记录'!$Q$87,"")</x:f>
      </x:c>
      <x:c r="I87" s="115" t="n">
        <x:f>'练习记录'!$R$87</x:f>
        <x:v>0</x:v>
      </x:c>
      <x:c r="K87" s="115" t="str">
        <x:f>IF(OR(E87&lt;&gt;"",F87&lt;&gt;""),"剑雅"&amp;B87&amp;"-T"&amp;C87&amp;"-第"&amp;IF(D87="",1,D87)&amp;"次","")</x:f>
      </x:c>
      <x:c r="L87" s="116" t="str">
        <x:f>IF(E87&lt;&gt;"",E87,"")</x:f>
      </x:c>
      <x:c r="M87" s="116" t="str">
        <x:f>IF(F87&lt;&gt;"",F87,"")</x:f>
      </x:c>
      <x:c r="N87" s="116" t="str">
        <x:f>IF(G87&lt;&gt;"",G87,"")</x:f>
      </x:c>
    </x:row>
    <x:row r="88">
      <x:c r="A88" s="114" t="str">
        <x:f>IF(OR('练习记录'!$J$88&lt;&gt;"",'练习记录'!$O$88&lt;&gt;""),'练习记录'!$A$88,"")</x:f>
      </x:c>
      <x:c r="B88" s="132" t="str">
        <x:f>IF(OR('练习记录'!$J$88&lt;&gt;"",'练习记录'!$O$88&lt;&gt;""),IFERROR('练习记录'!$B$85,""),"")</x:f>
      </x:c>
      <x:c r="C88" s="132" t="str">
        <x:f>IF(OR('练习记录'!$J$88&lt;&gt;"",'练习记录'!$O$88&lt;&gt;""),'练习记录'!$C$88,"")</x:f>
      </x:c>
      <x:c r="D88" s="132" t="str">
        <x:f>IF(OR('练习记录'!$J$88&lt;&gt;"",'练习记录'!$O$88&lt;&gt;""),'练习记录'!$D$88,"")</x:f>
      </x:c>
      <x:c r="E88" s="116" t="str">
        <x:f>IF('练习记录'!$J$88&lt;&gt;"",'练习记录'!$J$88,"")</x:f>
      </x:c>
      <x:c r="F88" s="116" t="str">
        <x:f>IF('练习记录'!$O$88&lt;&gt;"",'练习记录'!$O$88,"")</x:f>
      </x:c>
      <x:c r="G88" s="116" t="str">
        <x:f>IF('练习记录'!$P$88&lt;&gt;"",'练习记录'!$P$88,"")</x:f>
      </x:c>
      <x:c r="H88" s="116" t="str">
        <x:f>IF('练习记录'!$Q$88&lt;&gt;"",'练习记录'!$Q$88,"")</x:f>
      </x:c>
      <x:c r="I88" s="115" t="n">
        <x:f>'练习记录'!$R$88</x:f>
        <x:v>0</x:v>
      </x:c>
      <x:c r="K88" s="115" t="str">
        <x:f>IF(OR(E88&lt;&gt;"",F88&lt;&gt;""),"剑雅"&amp;B88&amp;"-T"&amp;C88&amp;"-第"&amp;IF(D88="",1,D88)&amp;"次","")</x:f>
      </x:c>
      <x:c r="L88" s="116" t="str">
        <x:f>IF(E88&lt;&gt;"",E88,"")</x:f>
      </x:c>
      <x:c r="M88" s="116" t="str">
        <x:f>IF(F88&lt;&gt;"",F88,"")</x:f>
      </x:c>
      <x:c r="N88" s="116" t="str">
        <x:f>IF(G88&lt;&gt;"",G88,"")</x:f>
      </x:c>
    </x:row>
    <x:row r="89">
      <x:c r="A89" s="114" t="str">
        <x:f>IF(OR('练习记录'!$J$89&lt;&gt;"",'练习记录'!$O$89&lt;&gt;""),'练习记录'!$A$89,"")</x:f>
      </x:c>
      <x:c r="B89" s="132" t="str">
        <x:f>IF(OR('练习记录'!$J$89&lt;&gt;"",'练习记录'!$O$89&lt;&gt;""),IFERROR('练习记录'!$B$89,""),"")</x:f>
      </x:c>
      <x:c r="C89" s="132" t="str">
        <x:f>IF(OR('练习记录'!$J$89&lt;&gt;"",'练习记录'!$O$89&lt;&gt;""),'练习记录'!$C$89,"")</x:f>
      </x:c>
      <x:c r="D89" s="132" t="str">
        <x:f>IF(OR('练习记录'!$J$89&lt;&gt;"",'练习记录'!$O$89&lt;&gt;""),'练习记录'!$D$89,"")</x:f>
      </x:c>
      <x:c r="E89" s="116" t="str">
        <x:f>IF('练习记录'!$J$89&lt;&gt;"",'练习记录'!$J$89,"")</x:f>
      </x:c>
      <x:c r="F89" s="116" t="str">
        <x:f>IF('练习记录'!$O$89&lt;&gt;"",'练习记录'!$O$89,"")</x:f>
      </x:c>
      <x:c r="G89" s="116" t="str">
        <x:f>IF('练习记录'!$P$89&lt;&gt;"",'练习记录'!$P$89,"")</x:f>
      </x:c>
      <x:c r="H89" s="116" t="str">
        <x:f>IF('练习记录'!$Q$89&lt;&gt;"",'练习记录'!$Q$89,"")</x:f>
      </x:c>
      <x:c r="I89" s="115" t="n">
        <x:f>'练习记录'!$R$89</x:f>
        <x:v>0</x:v>
      </x:c>
      <x:c r="K89" s="115" t="str">
        <x:f>IF(OR(E89&lt;&gt;"",F89&lt;&gt;""),"剑雅"&amp;B89&amp;"-T"&amp;C89&amp;"-第"&amp;IF(D89="",1,D89)&amp;"次","")</x:f>
      </x:c>
      <x:c r="L89" s="116" t="str">
        <x:f>IF(E89&lt;&gt;"",E89,"")</x:f>
      </x:c>
      <x:c r="M89" s="116" t="str">
        <x:f>IF(F89&lt;&gt;"",F89,"")</x:f>
      </x:c>
      <x:c r="N89" s="116" t="str">
        <x:f>IF(G89&lt;&gt;"",G89,"")</x:f>
      </x:c>
    </x:row>
    <x:row r="90">
      <x:c r="A90" s="114" t="str">
        <x:f>IF(OR('练习记录'!$J$90&lt;&gt;"",'练习记录'!$O$90&lt;&gt;""),'练习记录'!$A$90,"")</x:f>
      </x:c>
      <x:c r="B90" s="132" t="str">
        <x:f>IF(OR('练习记录'!$J$90&lt;&gt;"",'练习记录'!$O$90&lt;&gt;""),IFERROR('练习记录'!$B$89,""),"")</x:f>
      </x:c>
      <x:c r="C90" s="132" t="str">
        <x:f>IF(OR('练习记录'!$J$90&lt;&gt;"",'练习记录'!$O$90&lt;&gt;""),'练习记录'!$C$90,"")</x:f>
      </x:c>
      <x:c r="D90" s="132" t="str">
        <x:f>IF(OR('练习记录'!$J$90&lt;&gt;"",'练习记录'!$O$90&lt;&gt;""),'练习记录'!$D$90,"")</x:f>
      </x:c>
      <x:c r="E90" s="116" t="str">
        <x:f>IF('练习记录'!$J$90&lt;&gt;"",'练习记录'!$J$90,"")</x:f>
      </x:c>
      <x:c r="F90" s="116" t="str">
        <x:f>IF('练习记录'!$O$90&lt;&gt;"",'练习记录'!$O$90,"")</x:f>
      </x:c>
      <x:c r="G90" s="116" t="str">
        <x:f>IF('练习记录'!$P$90&lt;&gt;"",'练习记录'!$P$90,"")</x:f>
      </x:c>
      <x:c r="H90" s="116" t="str">
        <x:f>IF('练习记录'!$Q$90&lt;&gt;"",'练习记录'!$Q$90,"")</x:f>
      </x:c>
      <x:c r="I90" s="115" t="n">
        <x:f>'练习记录'!$R$90</x:f>
        <x:v>0</x:v>
      </x:c>
      <x:c r="K90" s="115" t="str">
        <x:f>IF(OR(E90&lt;&gt;"",F90&lt;&gt;""),"剑雅"&amp;B90&amp;"-T"&amp;C90&amp;"-第"&amp;IF(D90="",1,D90)&amp;"次","")</x:f>
      </x:c>
      <x:c r="L90" s="116" t="str">
        <x:f>IF(E90&lt;&gt;"",E90,"")</x:f>
      </x:c>
      <x:c r="M90" s="116" t="str">
        <x:f>IF(F90&lt;&gt;"",F90,"")</x:f>
      </x:c>
      <x:c r="N90" s="116" t="str">
        <x:f>IF(G90&lt;&gt;"",G90,"")</x:f>
      </x:c>
    </x:row>
    <x:row r="91">
      <x:c r="A91" s="114" t="str">
        <x:f>IF(OR('练习记录'!$J$91&lt;&gt;"",'练习记录'!$O$91&lt;&gt;""),'练习记录'!$A$91,"")</x:f>
      </x:c>
      <x:c r="B91" s="132" t="str">
        <x:f>IF(OR('练习记录'!$J$91&lt;&gt;"",'练习记录'!$O$91&lt;&gt;""),IFERROR('练习记录'!$B$89,""),"")</x:f>
      </x:c>
      <x:c r="C91" s="132" t="str">
        <x:f>IF(OR('练习记录'!$J$91&lt;&gt;"",'练习记录'!$O$91&lt;&gt;""),'练习记录'!$C$91,"")</x:f>
      </x:c>
      <x:c r="D91" s="132" t="str">
        <x:f>IF(OR('练习记录'!$J$91&lt;&gt;"",'练习记录'!$O$91&lt;&gt;""),'练习记录'!$D$91,"")</x:f>
      </x:c>
      <x:c r="E91" s="116" t="str">
        <x:f>IF('练习记录'!$J$91&lt;&gt;"",'练习记录'!$J$91,"")</x:f>
      </x:c>
      <x:c r="F91" s="116" t="str">
        <x:f>IF('练习记录'!$O$91&lt;&gt;"",'练习记录'!$O$91,"")</x:f>
      </x:c>
      <x:c r="G91" s="116" t="str">
        <x:f>IF('练习记录'!$P$91&lt;&gt;"",'练习记录'!$P$91,"")</x:f>
      </x:c>
      <x:c r="H91" s="116" t="str">
        <x:f>IF('练习记录'!$Q$91&lt;&gt;"",'练习记录'!$Q$91,"")</x:f>
      </x:c>
      <x:c r="I91" s="115" t="n">
        <x:f>'练习记录'!$R$91</x:f>
        <x:v>0</x:v>
      </x:c>
      <x:c r="K91" s="115" t="str">
        <x:f>IF(OR(E91&lt;&gt;"",F91&lt;&gt;""),"剑雅"&amp;B91&amp;"-T"&amp;C91&amp;"-第"&amp;IF(D91="",1,D91)&amp;"次","")</x:f>
      </x:c>
      <x:c r="L91" s="116" t="str">
        <x:f>IF(E91&lt;&gt;"",E91,"")</x:f>
      </x:c>
      <x:c r="M91" s="116" t="str">
        <x:f>IF(F91&lt;&gt;"",F91,"")</x:f>
      </x:c>
      <x:c r="N91" s="116" t="str">
        <x:f>IF(G91&lt;&gt;"",G91,"")</x:f>
      </x:c>
    </x:row>
    <x:row r="92">
      <x:c r="A92" s="114" t="str">
        <x:f>IF(OR('练习记录'!$J$92&lt;&gt;"",'练习记录'!$O$92&lt;&gt;""),'练习记录'!$A$92,"")</x:f>
      </x:c>
      <x:c r="B92" s="132" t="str">
        <x:f>IF(OR('练习记录'!$J$92&lt;&gt;"",'练习记录'!$O$92&lt;&gt;""),IFERROR('练习记录'!$B$89,""),"")</x:f>
      </x:c>
      <x:c r="C92" s="132" t="str">
        <x:f>IF(OR('练习记录'!$J$92&lt;&gt;"",'练习记录'!$O$92&lt;&gt;""),'练习记录'!$C$92,"")</x:f>
      </x:c>
      <x:c r="D92" s="132" t="str">
        <x:f>IF(OR('练习记录'!$J$92&lt;&gt;"",'练习记录'!$O$92&lt;&gt;""),'练习记录'!$D$92,"")</x:f>
      </x:c>
      <x:c r="E92" s="116" t="str">
        <x:f>IF('练习记录'!$J$92&lt;&gt;"",'练习记录'!$J$92,"")</x:f>
      </x:c>
      <x:c r="F92" s="116" t="str">
        <x:f>IF('练习记录'!$O$92&lt;&gt;"",'练习记录'!$O$92,"")</x:f>
      </x:c>
      <x:c r="G92" s="116" t="str">
        <x:f>IF('练习记录'!$P$92&lt;&gt;"",'练习记录'!$P$92,"")</x:f>
      </x:c>
      <x:c r="H92" s="116" t="str">
        <x:f>IF('练习记录'!$Q$92&lt;&gt;"",'练习记录'!$Q$92,"")</x:f>
      </x:c>
      <x:c r="I92" s="115" t="n">
        <x:f>'练习记录'!$R$92</x:f>
        <x:v>0</x:v>
      </x:c>
      <x:c r="K92" s="115" t="str">
        <x:f>IF(OR(E92&lt;&gt;"",F92&lt;&gt;""),"剑雅"&amp;B92&amp;"-T"&amp;C92&amp;"-第"&amp;IF(D92="",1,D92)&amp;"次","")</x:f>
      </x:c>
      <x:c r="L92" s="116" t="str">
        <x:f>IF(E92&lt;&gt;"",E92,"")</x:f>
      </x:c>
      <x:c r="M92" s="116" t="str">
        <x:f>IF(F92&lt;&gt;"",F92,"")</x:f>
      </x:c>
      <x:c r="N92" s="116" t="str">
        <x:f>IF(G92&lt;&gt;"",G92,"")</x:f>
      </x:c>
    </x:row>
    <x:row r="93">
      <x:c r="A93" s="114" t="str">
        <x:f>IF(OR('练习记录'!$J$93&lt;&gt;"",'练习记录'!$O$93&lt;&gt;""),'练习记录'!$A$93,"")</x:f>
      </x:c>
      <x:c r="B93" s="132" t="str">
        <x:f>IF(OR('练习记录'!$J$93&lt;&gt;"",'练习记录'!$O$93&lt;&gt;""),IFERROR('练习记录'!$B$93,""),"")</x:f>
      </x:c>
      <x:c r="C93" s="132" t="str">
        <x:f>IF(OR('练习记录'!$J$93&lt;&gt;"",'练习记录'!$O$93&lt;&gt;""),'练习记录'!$C$93,"")</x:f>
      </x:c>
      <x:c r="D93" s="132" t="str">
        <x:f>IF(OR('练习记录'!$J$93&lt;&gt;"",'练习记录'!$O$93&lt;&gt;""),'练习记录'!$D$93,"")</x:f>
      </x:c>
      <x:c r="E93" s="116" t="str">
        <x:f>IF('练习记录'!$J$93&lt;&gt;"",'练习记录'!$J$93,"")</x:f>
      </x:c>
      <x:c r="F93" s="116" t="str">
        <x:f>IF('练习记录'!$O$93&lt;&gt;"",'练习记录'!$O$93,"")</x:f>
      </x:c>
      <x:c r="G93" s="116" t="str">
        <x:f>IF('练习记录'!$P$93&lt;&gt;"",'练习记录'!$P$93,"")</x:f>
      </x:c>
      <x:c r="H93" s="116" t="str">
        <x:f>IF('练习记录'!$Q$93&lt;&gt;"",'练习记录'!$Q$93,"")</x:f>
      </x:c>
      <x:c r="I93" s="115" t="n">
        <x:f>'练习记录'!$R$93</x:f>
        <x:v>0</x:v>
      </x:c>
      <x:c r="K93" s="115" t="str">
        <x:f>IF(OR(E93&lt;&gt;"",F93&lt;&gt;""),"剑雅"&amp;B93&amp;"-T"&amp;C93&amp;"-第"&amp;IF(D93="",1,D93)&amp;"次","")</x:f>
      </x:c>
      <x:c r="L93" s="116" t="str">
        <x:f>IF(E93&lt;&gt;"",E93,"")</x:f>
      </x:c>
      <x:c r="M93" s="116" t="str">
        <x:f>IF(F93&lt;&gt;"",F93,"")</x:f>
      </x:c>
      <x:c r="N93" s="116" t="str">
        <x:f>IF(G93&lt;&gt;"",G93,"")</x:f>
      </x:c>
    </x:row>
    <x:row r="94">
      <x:c r="A94" s="114" t="str">
        <x:f>IF(OR('练习记录'!$J$94&lt;&gt;"",'练习记录'!$O$94&lt;&gt;""),'练习记录'!$A$94,"")</x:f>
      </x:c>
      <x:c r="B94" s="132" t="str">
        <x:f>IF(OR('练习记录'!$J$94&lt;&gt;"",'练习记录'!$O$94&lt;&gt;""),IFERROR('练习记录'!$B$93,""),"")</x:f>
      </x:c>
      <x:c r="C94" s="132" t="str">
        <x:f>IF(OR('练习记录'!$J$94&lt;&gt;"",'练习记录'!$O$94&lt;&gt;""),'练习记录'!$C$94,"")</x:f>
      </x:c>
      <x:c r="D94" s="132" t="str">
        <x:f>IF(OR('练习记录'!$J$94&lt;&gt;"",'练习记录'!$O$94&lt;&gt;""),'练习记录'!$D$94,"")</x:f>
      </x:c>
      <x:c r="E94" s="116" t="str">
        <x:f>IF('练习记录'!$J$94&lt;&gt;"",'练习记录'!$J$94,"")</x:f>
      </x:c>
      <x:c r="F94" s="116" t="str">
        <x:f>IF('练习记录'!$O$94&lt;&gt;"",'练习记录'!$O$94,"")</x:f>
      </x:c>
      <x:c r="G94" s="116" t="str">
        <x:f>IF('练习记录'!$P$94&lt;&gt;"",'练习记录'!$P$94,"")</x:f>
      </x:c>
      <x:c r="H94" s="116" t="str">
        <x:f>IF('练习记录'!$Q$94&lt;&gt;"",'练习记录'!$Q$94,"")</x:f>
      </x:c>
      <x:c r="I94" s="115" t="n">
        <x:f>'练习记录'!$R$94</x:f>
        <x:v>0</x:v>
      </x:c>
      <x:c r="K94" s="115" t="str">
        <x:f>IF(OR(E94&lt;&gt;"",F94&lt;&gt;""),"剑雅"&amp;B94&amp;"-T"&amp;C94&amp;"-第"&amp;IF(D94="",1,D94)&amp;"次","")</x:f>
      </x:c>
      <x:c r="L94" s="116" t="str">
        <x:f>IF(E94&lt;&gt;"",E94,"")</x:f>
      </x:c>
      <x:c r="M94" s="116" t="str">
        <x:f>IF(F94&lt;&gt;"",F94,"")</x:f>
      </x:c>
      <x:c r="N94" s="116" t="str">
        <x:f>IF(G94&lt;&gt;"",G94,"")</x:f>
      </x:c>
    </x:row>
    <x:row r="95">
      <x:c r="A95" s="114" t="str">
        <x:f>IF(OR('练习记录'!$J$95&lt;&gt;"",'练习记录'!$O$95&lt;&gt;""),'练习记录'!$A$95,"")</x:f>
      </x:c>
      <x:c r="B95" s="132" t="str">
        <x:f>IF(OR('练习记录'!$J$95&lt;&gt;"",'练习记录'!$O$95&lt;&gt;""),IFERROR('练习记录'!$B$93,""),"")</x:f>
      </x:c>
      <x:c r="C95" s="132" t="str">
        <x:f>IF(OR('练习记录'!$J$95&lt;&gt;"",'练习记录'!$O$95&lt;&gt;""),'练习记录'!$C$95,"")</x:f>
      </x:c>
      <x:c r="D95" s="132" t="str">
        <x:f>IF(OR('练习记录'!$J$95&lt;&gt;"",'练习记录'!$O$95&lt;&gt;""),'练习记录'!$D$95,"")</x:f>
      </x:c>
      <x:c r="E95" s="116" t="str">
        <x:f>IF('练习记录'!$J$95&lt;&gt;"",'练习记录'!$J$95,"")</x:f>
      </x:c>
      <x:c r="F95" s="116" t="str">
        <x:f>IF('练习记录'!$O$95&lt;&gt;"",'练习记录'!$O$95,"")</x:f>
      </x:c>
      <x:c r="G95" s="116" t="str">
        <x:f>IF('练习记录'!$P$95&lt;&gt;"",'练习记录'!$P$95,"")</x:f>
      </x:c>
      <x:c r="H95" s="116" t="str">
        <x:f>IF('练习记录'!$Q$95&lt;&gt;"",'练习记录'!$Q$95,"")</x:f>
      </x:c>
      <x:c r="I95" s="115" t="n">
        <x:f>'练习记录'!$R$95</x:f>
        <x:v>0</x:v>
      </x:c>
      <x:c r="K95" s="115" t="str">
        <x:f>IF(OR(E95&lt;&gt;"",F95&lt;&gt;""),"剑雅"&amp;B95&amp;"-T"&amp;C95&amp;"-第"&amp;IF(D95="",1,D95)&amp;"次","")</x:f>
      </x:c>
      <x:c r="L95" s="116" t="str">
        <x:f>IF(E95&lt;&gt;"",E95,"")</x:f>
      </x:c>
      <x:c r="M95" s="116" t="str">
        <x:f>IF(F95&lt;&gt;"",F95,"")</x:f>
      </x:c>
      <x:c r="N95" s="116" t="str">
        <x:f>IF(G95&lt;&gt;"",G95,"")</x:f>
      </x:c>
    </x:row>
    <x:row r="96">
      <x:c r="A96" s="114" t="str">
        <x:f>IF(OR('练习记录'!$J$96&lt;&gt;"",'练习记录'!$O$96&lt;&gt;""),'练习记录'!$A$96,"")</x:f>
      </x:c>
      <x:c r="B96" s="132" t="str">
        <x:f>IF(OR('练习记录'!$J$96&lt;&gt;"",'练习记录'!$O$96&lt;&gt;""),IFERROR('练习记录'!$B$93,""),"")</x:f>
      </x:c>
      <x:c r="C96" s="132" t="str">
        <x:f>IF(OR('练习记录'!$J$96&lt;&gt;"",'练习记录'!$O$96&lt;&gt;""),'练习记录'!$C$96,"")</x:f>
      </x:c>
      <x:c r="D96" s="132" t="str">
        <x:f>IF(OR('练习记录'!$J$96&lt;&gt;"",'练习记录'!$O$96&lt;&gt;""),'练习记录'!$D$96,"")</x:f>
      </x:c>
      <x:c r="E96" s="116" t="str">
        <x:f>IF('练习记录'!$J$96&lt;&gt;"",'练习记录'!$J$96,"")</x:f>
      </x:c>
      <x:c r="F96" s="116" t="str">
        <x:f>IF('练习记录'!$O$96&lt;&gt;"",'练习记录'!$O$96,"")</x:f>
      </x:c>
      <x:c r="G96" s="116" t="str">
        <x:f>IF('练习记录'!$P$96&lt;&gt;"",'练习记录'!$P$96,"")</x:f>
      </x:c>
      <x:c r="H96" s="116" t="str">
        <x:f>IF('练习记录'!$Q$96&lt;&gt;"",'练习记录'!$Q$96,"")</x:f>
      </x:c>
      <x:c r="I96" s="115" t="n">
        <x:f>'练习记录'!$R$96</x:f>
        <x:v>0</x:v>
      </x:c>
      <x:c r="K96" s="115" t="str">
        <x:f>IF(OR(E96&lt;&gt;"",F96&lt;&gt;""),"剑雅"&amp;B96&amp;"-T"&amp;C96&amp;"-第"&amp;IF(D96="",1,D96)&amp;"次","")</x:f>
      </x:c>
      <x:c r="L96" s="116" t="str">
        <x:f>IF(E96&lt;&gt;"",E96,"")</x:f>
      </x:c>
      <x:c r="M96" s="116" t="str">
        <x:f>IF(F96&lt;&gt;"",F96,"")</x:f>
      </x:c>
      <x:c r="N96" s="116" t="str">
        <x:f>IF(G96&lt;&gt;"",G96,"")</x:f>
      </x:c>
    </x:row>
    <x:row r="97">
      <x:c r="A97" s="114" t="str">
        <x:f>IF(OR('练习记录'!$J$97&lt;&gt;"",'练习记录'!$O$97&lt;&gt;""),'练习记录'!$A$97,"")</x:f>
      </x:c>
      <x:c r="B97" s="132" t="str">
        <x:f>IF(OR('练习记录'!$J$97&lt;&gt;"",'练习记录'!$O$97&lt;&gt;""),IFERROR('练习记录'!$B$97,""),"")</x:f>
      </x:c>
      <x:c r="C97" s="132" t="str">
        <x:f>IF(OR('练习记录'!$J$97&lt;&gt;"",'练习记录'!$O$97&lt;&gt;""),'练习记录'!$C$97,"")</x:f>
      </x:c>
      <x:c r="D97" s="132" t="str">
        <x:f>IF(OR('练习记录'!$J$97&lt;&gt;"",'练习记录'!$O$97&lt;&gt;""),'练习记录'!$D$97,"")</x:f>
      </x:c>
      <x:c r="E97" s="116" t="str">
        <x:f>IF('练习记录'!$J$97&lt;&gt;"",'练习记录'!$J$97,"")</x:f>
      </x:c>
      <x:c r="F97" s="116" t="str">
        <x:f>IF('练习记录'!$O$97&lt;&gt;"",'练习记录'!$O$97,"")</x:f>
      </x:c>
      <x:c r="G97" s="116" t="str">
        <x:f>IF('练习记录'!$P$97&lt;&gt;"",'练习记录'!$P$97,"")</x:f>
      </x:c>
      <x:c r="H97" s="116" t="str">
        <x:f>IF('练习记录'!$Q$97&lt;&gt;"",'练习记录'!$Q$97,"")</x:f>
      </x:c>
      <x:c r="I97" s="115" t="n">
        <x:f>'练习记录'!$R$97</x:f>
        <x:v>0</x:v>
      </x:c>
      <x:c r="K97" s="115" t="str">
        <x:f>IF(OR(E97&lt;&gt;"",F97&lt;&gt;""),"剑雅"&amp;B97&amp;"-T"&amp;C97&amp;"-第"&amp;IF(D97="",1,D97)&amp;"次","")</x:f>
      </x:c>
      <x:c r="L97" s="116" t="str">
        <x:f>IF(E97&lt;&gt;"",E97,"")</x:f>
      </x:c>
      <x:c r="M97" s="116" t="str">
        <x:f>IF(F97&lt;&gt;"",F97,"")</x:f>
      </x:c>
      <x:c r="N97" s="116" t="str">
        <x:f>IF(G97&lt;&gt;"",G97,"")</x:f>
      </x:c>
    </x:row>
    <x:row r="98">
      <x:c r="A98" s="114" t="str">
        <x:f>IF(OR('练习记录'!$J$98&lt;&gt;"",'练习记录'!$O$98&lt;&gt;""),'练习记录'!$A$98,"")</x:f>
      </x:c>
      <x:c r="B98" s="132" t="str">
        <x:f>IF(OR('练习记录'!$J$98&lt;&gt;"",'练习记录'!$O$98&lt;&gt;""),IFERROR('练习记录'!$B$97,""),"")</x:f>
      </x:c>
      <x:c r="C98" s="132" t="str">
        <x:f>IF(OR('练习记录'!$J$98&lt;&gt;"",'练习记录'!$O$98&lt;&gt;""),'练习记录'!$C$98,"")</x:f>
      </x:c>
      <x:c r="D98" s="132" t="str">
        <x:f>IF(OR('练习记录'!$J$98&lt;&gt;"",'练习记录'!$O$98&lt;&gt;""),'练习记录'!$D$98,"")</x:f>
      </x:c>
      <x:c r="E98" s="116" t="str">
        <x:f>IF('练习记录'!$J$98&lt;&gt;"",'练习记录'!$J$98,"")</x:f>
      </x:c>
      <x:c r="F98" s="116" t="str">
        <x:f>IF('练习记录'!$O$98&lt;&gt;"",'练习记录'!$O$98,"")</x:f>
      </x:c>
      <x:c r="G98" s="116" t="str">
        <x:f>IF('练习记录'!$P$98&lt;&gt;"",'练习记录'!$P$98,"")</x:f>
      </x:c>
      <x:c r="H98" s="116" t="str">
        <x:f>IF('练习记录'!$Q$98&lt;&gt;"",'练习记录'!$Q$98,"")</x:f>
      </x:c>
      <x:c r="I98" s="115" t="n">
        <x:f>'练习记录'!$R$98</x:f>
        <x:v>0</x:v>
      </x:c>
      <x:c r="K98" s="115" t="str">
        <x:f>IF(OR(E98&lt;&gt;"",F98&lt;&gt;""),"剑雅"&amp;B98&amp;"-T"&amp;C98&amp;"-第"&amp;IF(D98="",1,D98)&amp;"次","")</x:f>
      </x:c>
      <x:c r="L98" s="116" t="str">
        <x:f>IF(E98&lt;&gt;"",E98,"")</x:f>
      </x:c>
      <x:c r="M98" s="116" t="str">
        <x:f>IF(F98&lt;&gt;"",F98,"")</x:f>
      </x:c>
      <x:c r="N98" s="116" t="str">
        <x:f>IF(G98&lt;&gt;"",G98,"")</x:f>
      </x:c>
    </x:row>
    <x:row r="99">
      <x:c r="A99" s="114" t="str">
        <x:f>IF(OR('练习记录'!$J$99&lt;&gt;"",'练习记录'!$O$99&lt;&gt;""),'练习记录'!$A$99,"")</x:f>
      </x:c>
      <x:c r="B99" s="132" t="str">
        <x:f>IF(OR('练习记录'!$J$99&lt;&gt;"",'练习记录'!$O$99&lt;&gt;""),IFERROR('练习记录'!$B$97,""),"")</x:f>
      </x:c>
      <x:c r="C99" s="132" t="str">
        <x:f>IF(OR('练习记录'!$J$99&lt;&gt;"",'练习记录'!$O$99&lt;&gt;""),'练习记录'!$C$99,"")</x:f>
      </x:c>
      <x:c r="D99" s="132" t="str">
        <x:f>IF(OR('练习记录'!$J$99&lt;&gt;"",'练习记录'!$O$99&lt;&gt;""),'练习记录'!$D$99,"")</x:f>
      </x:c>
      <x:c r="E99" s="116" t="str">
        <x:f>IF('练习记录'!$J$99&lt;&gt;"",'练习记录'!$J$99,"")</x:f>
      </x:c>
      <x:c r="F99" s="116" t="str">
        <x:f>IF('练习记录'!$O$99&lt;&gt;"",'练习记录'!$O$99,"")</x:f>
      </x:c>
      <x:c r="G99" s="116" t="str">
        <x:f>IF('练习记录'!$P$99&lt;&gt;"",'练习记录'!$P$99,"")</x:f>
      </x:c>
      <x:c r="H99" s="116" t="str">
        <x:f>IF('练习记录'!$Q$99&lt;&gt;"",'练习记录'!$Q$99,"")</x:f>
      </x:c>
      <x:c r="I99" s="115" t="n">
        <x:f>'练习记录'!$R$99</x:f>
        <x:v>0</x:v>
      </x:c>
      <x:c r="K99" s="115" t="str">
        <x:f>IF(OR(E99&lt;&gt;"",F99&lt;&gt;""),"剑雅"&amp;B99&amp;"-T"&amp;C99&amp;"-第"&amp;IF(D99="",1,D99)&amp;"次","")</x:f>
      </x:c>
      <x:c r="L99" s="116" t="str">
        <x:f>IF(E99&lt;&gt;"",E99,"")</x:f>
      </x:c>
      <x:c r="M99" s="116" t="str">
        <x:f>IF(F99&lt;&gt;"",F99,"")</x:f>
      </x:c>
      <x:c r="N99" s="116" t="str">
        <x:f>IF(G99&lt;&gt;"",G99,"")</x:f>
      </x:c>
    </x:row>
    <x:row r="100">
      <x:c r="A100" s="114" t="str">
        <x:f>IF(OR('练习记录'!$J$100&lt;&gt;"",'练习记录'!$O$100&lt;&gt;""),'练习记录'!$A$100,"")</x:f>
      </x:c>
      <x:c r="B100" s="132" t="str">
        <x:f>IF(OR('练习记录'!$J$100&lt;&gt;"",'练习记录'!$O$100&lt;&gt;""),IFERROR('练习记录'!$B$97,""),"")</x:f>
      </x:c>
      <x:c r="C100" s="132" t="str">
        <x:f>IF(OR('练习记录'!$J$100&lt;&gt;"",'练习记录'!$O$100&lt;&gt;""),'练习记录'!$C$100,"")</x:f>
      </x:c>
      <x:c r="D100" s="132" t="str">
        <x:f>IF(OR('练习记录'!$J$100&lt;&gt;"",'练习记录'!$O$100&lt;&gt;""),'练习记录'!$D$100,"")</x:f>
      </x:c>
      <x:c r="E100" s="116" t="str">
        <x:f>IF('练习记录'!$J$100&lt;&gt;"",'练习记录'!$J$100,"")</x:f>
      </x:c>
      <x:c r="F100" s="116" t="str">
        <x:f>IF('练习记录'!$O$100&lt;&gt;"",'练习记录'!$O$100,"")</x:f>
      </x:c>
      <x:c r="G100" s="116" t="str">
        <x:f>IF('练习记录'!$P$100&lt;&gt;"",'练习记录'!$P$100,"")</x:f>
      </x:c>
      <x:c r="H100" s="116" t="str">
        <x:f>IF('练习记录'!$Q$100&lt;&gt;"",'练习记录'!$Q$100,"")</x:f>
      </x:c>
      <x:c r="I100" s="115" t="n">
        <x:f>'练习记录'!$R$100</x:f>
        <x:v>0</x:v>
      </x:c>
      <x:c r="K100" s="115" t="str">
        <x:f>IF(OR(E100&lt;&gt;"",F100&lt;&gt;""),"剑雅"&amp;B100&amp;"-T"&amp;C100&amp;"-第"&amp;IF(D100="",1,D100)&amp;"次","")</x:f>
      </x:c>
      <x:c r="L100" s="116" t="str">
        <x:f>IF(E100&lt;&gt;"",E100,"")</x:f>
      </x:c>
      <x:c r="M100" s="116" t="str">
        <x:f>IF(F100&lt;&gt;"",F100,"")</x:f>
      </x:c>
      <x:c r="N100" s="116" t="str">
        <x:f>IF(G100&lt;&gt;"",G100,"")</x:f>
      </x:c>
    </x:row>
    <x:row r="101">
      <x:c r="A101" s="114" t="str">
        <x:f>IF(OR('练习记录'!$J$101&lt;&gt;"",'练习记录'!$O$101&lt;&gt;""),'练习记录'!$A$101,"")</x:f>
      </x:c>
      <x:c r="B101" s="132" t="str">
        <x:f>IF(OR('练习记录'!$J$101&lt;&gt;"",'练习记录'!$O$101&lt;&gt;""),IFERROR('练习记录'!$B$101,""),"")</x:f>
      </x:c>
      <x:c r="C101" s="132" t="str">
        <x:f>IF(OR('练习记录'!$J$101&lt;&gt;"",'练习记录'!$O$101&lt;&gt;""),'练习记录'!$C$101,"")</x:f>
      </x:c>
      <x:c r="D101" s="132" t="str">
        <x:f>IF(OR('练习记录'!$J$101&lt;&gt;"",'练习记录'!$O$101&lt;&gt;""),'练习记录'!$D$101,"")</x:f>
      </x:c>
      <x:c r="E101" s="116" t="str">
        <x:f>IF('练习记录'!$J$101&lt;&gt;"",'练习记录'!$J$101,"")</x:f>
      </x:c>
      <x:c r="F101" s="116" t="str">
        <x:f>IF('练习记录'!$O$101&lt;&gt;"",'练习记录'!$O$101,"")</x:f>
      </x:c>
      <x:c r="G101" s="116" t="str">
        <x:f>IF('练习记录'!$P$101&lt;&gt;"",'练习记录'!$P$101,"")</x:f>
      </x:c>
      <x:c r="H101" s="116" t="str">
        <x:f>IF('练习记录'!$Q$101&lt;&gt;"",'练习记录'!$Q$101,"")</x:f>
      </x:c>
      <x:c r="I101" s="115" t="n">
        <x:f>'练习记录'!$R$101</x:f>
        <x:v>0</x:v>
      </x:c>
      <x:c r="K101" s="115" t="str">
        <x:f>IF(OR(E101&lt;&gt;"",F101&lt;&gt;""),"剑雅"&amp;B101&amp;"-T"&amp;C101&amp;"-第"&amp;IF(D101="",1,D101)&amp;"次","")</x:f>
      </x:c>
      <x:c r="L101" s="116" t="str">
        <x:f>IF(E101&lt;&gt;"",E101,"")</x:f>
      </x:c>
      <x:c r="M101" s="116" t="str">
        <x:f>IF(F101&lt;&gt;"",F101,"")</x:f>
      </x:c>
      <x:c r="N101" s="116" t="str">
        <x:f>IF(G101&lt;&gt;"",G101,"")</x:f>
      </x:c>
    </x:row>
    <x:row r="102">
      <x:c r="A102" s="114" t="str">
        <x:f>IF(OR('练习记录'!$J$102&lt;&gt;"",'练习记录'!$O$102&lt;&gt;""),'练习记录'!$A$102,"")</x:f>
      </x:c>
      <x:c r="B102" s="132" t="str">
        <x:f>IF(OR('练习记录'!$J$102&lt;&gt;"",'练习记录'!$O$102&lt;&gt;""),IFERROR('练习记录'!$B$101,""),"")</x:f>
      </x:c>
      <x:c r="C102" s="132" t="str">
        <x:f>IF(OR('练习记录'!$J$102&lt;&gt;"",'练习记录'!$O$102&lt;&gt;""),'练习记录'!$C$102,"")</x:f>
      </x:c>
      <x:c r="D102" s="132" t="str">
        <x:f>IF(OR('练习记录'!$J$102&lt;&gt;"",'练习记录'!$O$102&lt;&gt;""),'练习记录'!$D$102,"")</x:f>
      </x:c>
      <x:c r="E102" s="116" t="str">
        <x:f>IF('练习记录'!$J$102&lt;&gt;"",'练习记录'!$J$102,"")</x:f>
      </x:c>
      <x:c r="F102" s="116" t="str">
        <x:f>IF('练习记录'!$O$102&lt;&gt;"",'练习记录'!$O$102,"")</x:f>
      </x:c>
      <x:c r="G102" s="116" t="str">
        <x:f>IF('练习记录'!$P$102&lt;&gt;"",'练习记录'!$P$102,"")</x:f>
      </x:c>
      <x:c r="H102" s="116" t="str">
        <x:f>IF('练习记录'!$Q$102&lt;&gt;"",'练习记录'!$Q$102,"")</x:f>
      </x:c>
      <x:c r="I102" s="115" t="n">
        <x:f>'练习记录'!$R$102</x:f>
        <x:v>0</x:v>
      </x:c>
      <x:c r="K102" s="115" t="str">
        <x:f>IF(OR(E102&lt;&gt;"",F102&lt;&gt;""),"剑雅"&amp;B102&amp;"-T"&amp;C102&amp;"-第"&amp;IF(D102="",1,D102)&amp;"次","")</x:f>
      </x:c>
      <x:c r="L102" s="116" t="str">
        <x:f>IF(E102&lt;&gt;"",E102,"")</x:f>
      </x:c>
      <x:c r="M102" s="116" t="str">
        <x:f>IF(F102&lt;&gt;"",F102,"")</x:f>
      </x:c>
      <x:c r="N102" s="116" t="str">
        <x:f>IF(G102&lt;&gt;"",G102,"")</x:f>
      </x:c>
    </x:row>
    <x:row r="103">
      <x:c r="A103" s="114" t="str">
        <x:f>IF(OR('练习记录'!$J$103&lt;&gt;"",'练习记录'!$O$103&lt;&gt;""),'练习记录'!$A$103,"")</x:f>
      </x:c>
      <x:c r="B103" s="132" t="str">
        <x:f>IF(OR('练习记录'!$J$103&lt;&gt;"",'练习记录'!$O$103&lt;&gt;""),IFERROR('练习记录'!$B$101,""),"")</x:f>
      </x:c>
      <x:c r="C103" s="132" t="str">
        <x:f>IF(OR('练习记录'!$J$103&lt;&gt;"",'练习记录'!$O$103&lt;&gt;""),'练习记录'!$C$103,"")</x:f>
      </x:c>
      <x:c r="D103" s="132" t="str">
        <x:f>IF(OR('练习记录'!$J$103&lt;&gt;"",'练习记录'!$O$103&lt;&gt;""),'练习记录'!$D$103,"")</x:f>
      </x:c>
      <x:c r="E103" s="116" t="str">
        <x:f>IF('练习记录'!$J$103&lt;&gt;"",'练习记录'!$J$103,"")</x:f>
      </x:c>
      <x:c r="F103" s="116" t="str">
        <x:f>IF('练习记录'!$O$103&lt;&gt;"",'练习记录'!$O$103,"")</x:f>
      </x:c>
      <x:c r="G103" s="116" t="str">
        <x:f>IF('练习记录'!$P$103&lt;&gt;"",'练习记录'!$P$103,"")</x:f>
      </x:c>
      <x:c r="H103" s="116" t="str">
        <x:f>IF('练习记录'!$Q$103&lt;&gt;"",'练习记录'!$Q$103,"")</x:f>
      </x:c>
      <x:c r="I103" s="115" t="n">
        <x:f>'练习记录'!$R$103</x:f>
        <x:v>0</x:v>
      </x:c>
      <x:c r="K103" s="115" t="str">
        <x:f>IF(OR(E103&lt;&gt;"",F103&lt;&gt;""),"剑雅"&amp;B103&amp;"-T"&amp;C103&amp;"-第"&amp;IF(D103="",1,D103)&amp;"次","")</x:f>
      </x:c>
      <x:c r="L103" s="116" t="str">
        <x:f>IF(E103&lt;&gt;"",E103,"")</x:f>
      </x:c>
      <x:c r="M103" s="116" t="str">
        <x:f>IF(F103&lt;&gt;"",F103,"")</x:f>
      </x:c>
      <x:c r="N103" s="116" t="str">
        <x:f>IF(G103&lt;&gt;"",G103,"")</x:f>
      </x:c>
    </x:row>
    <x:row r="104">
      <x:c r="A104" s="114" t="str">
        <x:f>IF(OR('练习记录'!$J$104&lt;&gt;"",'练习记录'!$O$104&lt;&gt;""),'练习记录'!$A$104,"")</x:f>
      </x:c>
      <x:c r="B104" s="132" t="str">
        <x:f>IF(OR('练习记录'!$J$104&lt;&gt;"",'练习记录'!$O$104&lt;&gt;""),IFERROR('练习记录'!$B$101,""),"")</x:f>
      </x:c>
      <x:c r="C104" s="132" t="str">
        <x:f>IF(OR('练习记录'!$J$104&lt;&gt;"",'练习记录'!$O$104&lt;&gt;""),'练习记录'!$C$104,"")</x:f>
      </x:c>
      <x:c r="D104" s="132" t="str">
        <x:f>IF(OR('练习记录'!$J$104&lt;&gt;"",'练习记录'!$O$104&lt;&gt;""),'练习记录'!$D$104,"")</x:f>
      </x:c>
      <x:c r="E104" s="116" t="str">
        <x:f>IF('练习记录'!$J$104&lt;&gt;"",'练习记录'!$J$104,"")</x:f>
      </x:c>
      <x:c r="F104" s="116" t="str">
        <x:f>IF('练习记录'!$O$104&lt;&gt;"",'练习记录'!$O$104,"")</x:f>
      </x:c>
      <x:c r="G104" s="116" t="str">
        <x:f>IF('练习记录'!$P$104&lt;&gt;"",'练习记录'!$P$104,"")</x:f>
      </x:c>
      <x:c r="H104" s="116" t="str">
        <x:f>IF('练习记录'!$Q$104&lt;&gt;"",'练习记录'!$Q$104,"")</x:f>
      </x:c>
      <x:c r="I104" s="115" t="n">
        <x:f>'练习记录'!$R$104</x:f>
        <x:v>0</x:v>
      </x:c>
      <x:c r="K104" s="115" t="str">
        <x:f>IF(OR(E104&lt;&gt;"",F104&lt;&gt;""),"剑雅"&amp;B104&amp;"-T"&amp;C104&amp;"-第"&amp;IF(D104="",1,D104)&amp;"次","")</x:f>
      </x:c>
      <x:c r="L104" s="116" t="str">
        <x:f>IF(E104&lt;&gt;"",E104,"")</x:f>
      </x:c>
      <x:c r="M104" s="116" t="str">
        <x:f>IF(F104&lt;&gt;"",F104,"")</x:f>
      </x:c>
      <x:c r="N104" s="116" t="str">
        <x:f>IF(G104&lt;&gt;"",G104,"")</x:f>
      </x:c>
    </x:row>
    <x:row r="105">
      <x:c r="A105" s="114" t="str">
        <x:f>IF(OR('练习记录'!$J$105&lt;&gt;"",'练习记录'!$O$105&lt;&gt;""),'练习记录'!$A$105,"")</x:f>
      </x:c>
      <x:c r="B105" s="132" t="str">
        <x:f>IF(OR('练习记录'!$J$105&lt;&gt;"",'练习记录'!$O$105&lt;&gt;""),IFERROR('练习记录'!$B$105,""),"")</x:f>
      </x:c>
      <x:c r="C105" s="132" t="str">
        <x:f>IF(OR('练习记录'!$J$105&lt;&gt;"",'练习记录'!$O$105&lt;&gt;""),'练习记录'!$C$105,"")</x:f>
      </x:c>
      <x:c r="D105" s="132" t="str">
        <x:f>IF(OR('练习记录'!$J$105&lt;&gt;"",'练习记录'!$O$105&lt;&gt;""),'练习记录'!$D$105,"")</x:f>
      </x:c>
      <x:c r="E105" s="116" t="str">
        <x:f>IF('练习记录'!$J$105&lt;&gt;"",'练习记录'!$J$105,"")</x:f>
      </x:c>
      <x:c r="F105" s="116" t="str">
        <x:f>IF('练习记录'!$O$105&lt;&gt;"",'练习记录'!$O$105,"")</x:f>
      </x:c>
      <x:c r="G105" s="116" t="str">
        <x:f>IF('练习记录'!$P$105&lt;&gt;"",'练习记录'!$P$105,"")</x:f>
      </x:c>
      <x:c r="H105" s="116" t="str">
        <x:f>IF('练习记录'!$Q$105&lt;&gt;"",'练习记录'!$Q$105,"")</x:f>
      </x:c>
      <x:c r="I105" s="115" t="n">
        <x:f>'练习记录'!$R$105</x:f>
        <x:v>0</x:v>
      </x:c>
      <x:c r="K105" s="115" t="str">
        <x:f>IF(OR(E105&lt;&gt;"",F105&lt;&gt;""),"剑雅"&amp;B105&amp;"-T"&amp;C105&amp;"-第"&amp;IF(D105="",1,D105)&amp;"次","")</x:f>
      </x:c>
      <x:c r="L105" s="116" t="str">
        <x:f>IF(E105&lt;&gt;"",E105,"")</x:f>
      </x:c>
      <x:c r="M105" s="116" t="str">
        <x:f>IF(F105&lt;&gt;"",F105,"")</x:f>
      </x:c>
      <x:c r="N105" s="116" t="str">
        <x:f>IF(G105&lt;&gt;"",G105,"")</x:f>
      </x:c>
    </x:row>
    <x:row r="106">
      <x:c r="A106" s="114" t="str">
        <x:f>IF(OR('练习记录'!$J$106&lt;&gt;"",'练习记录'!$O$106&lt;&gt;""),'练习记录'!$A$106,"")</x:f>
      </x:c>
      <x:c r="B106" s="132" t="str">
        <x:f>IF(OR('练习记录'!$J$106&lt;&gt;"",'练习记录'!$O$106&lt;&gt;""),IFERROR('练习记录'!$B$105,""),"")</x:f>
      </x:c>
      <x:c r="C106" s="132" t="str">
        <x:f>IF(OR('练习记录'!$J$106&lt;&gt;"",'练习记录'!$O$106&lt;&gt;""),'练习记录'!$C$106,"")</x:f>
      </x:c>
      <x:c r="D106" s="132" t="str">
        <x:f>IF(OR('练习记录'!$J$106&lt;&gt;"",'练习记录'!$O$106&lt;&gt;""),'练习记录'!$D$106,"")</x:f>
      </x:c>
      <x:c r="E106" s="116" t="str">
        <x:f>IF('练习记录'!$J$106&lt;&gt;"",'练习记录'!$J$106,"")</x:f>
      </x:c>
      <x:c r="F106" s="116" t="str">
        <x:f>IF('练习记录'!$O$106&lt;&gt;"",'练习记录'!$O$106,"")</x:f>
      </x:c>
      <x:c r="G106" s="116" t="str">
        <x:f>IF('练习记录'!$P$106&lt;&gt;"",'练习记录'!$P$106,"")</x:f>
      </x:c>
      <x:c r="H106" s="116" t="str">
        <x:f>IF('练习记录'!$Q$106&lt;&gt;"",'练习记录'!$Q$106,"")</x:f>
      </x:c>
      <x:c r="I106" s="115" t="n">
        <x:f>'练习记录'!$R$106</x:f>
        <x:v>0</x:v>
      </x:c>
      <x:c r="K106" s="115" t="str">
        <x:f>IF(OR(E106&lt;&gt;"",F106&lt;&gt;""),"剑雅"&amp;B106&amp;"-T"&amp;C106&amp;"-第"&amp;IF(D106="",1,D106)&amp;"次","")</x:f>
      </x:c>
      <x:c r="L106" s="116" t="str">
        <x:f>IF(E106&lt;&gt;"",E106,"")</x:f>
      </x:c>
      <x:c r="M106" s="116" t="str">
        <x:f>IF(F106&lt;&gt;"",F106,"")</x:f>
      </x:c>
      <x:c r="N106" s="116" t="str">
        <x:f>IF(G106&lt;&gt;"",G106,"")</x:f>
      </x:c>
    </x:row>
    <x:row r="107">
      <x:c r="A107" s="114" t="str">
        <x:f>IF(OR('练习记录'!$J$107&lt;&gt;"",'练习记录'!$O$107&lt;&gt;""),'练习记录'!$A$107,"")</x:f>
      </x:c>
      <x:c r="B107" s="132" t="str">
        <x:f>IF(OR('练习记录'!$J$107&lt;&gt;"",'练习记录'!$O$107&lt;&gt;""),IFERROR('练习记录'!$B$105,""),"")</x:f>
      </x:c>
      <x:c r="C107" s="132" t="str">
        <x:f>IF(OR('练习记录'!$J$107&lt;&gt;"",'练习记录'!$O$107&lt;&gt;""),'练习记录'!$C$107,"")</x:f>
      </x:c>
      <x:c r="D107" s="132" t="str">
        <x:f>IF(OR('练习记录'!$J$107&lt;&gt;"",'练习记录'!$O$107&lt;&gt;""),'练习记录'!$D$107,"")</x:f>
      </x:c>
      <x:c r="E107" s="116" t="str">
        <x:f>IF('练习记录'!$J$107&lt;&gt;"",'练习记录'!$J$107,"")</x:f>
      </x:c>
      <x:c r="F107" s="116" t="str">
        <x:f>IF('练习记录'!$O$107&lt;&gt;"",'练习记录'!$O$107,"")</x:f>
      </x:c>
      <x:c r="G107" s="116" t="str">
        <x:f>IF('练习记录'!$P$107&lt;&gt;"",'练习记录'!$P$107,"")</x:f>
      </x:c>
      <x:c r="H107" s="116" t="str">
        <x:f>IF('练习记录'!$Q$107&lt;&gt;"",'练习记录'!$Q$107,"")</x:f>
      </x:c>
      <x:c r="I107" s="115" t="n">
        <x:f>'练习记录'!$R$107</x:f>
        <x:v>0</x:v>
      </x:c>
      <x:c r="K107" s="115" t="str">
        <x:f>IF(OR(E107&lt;&gt;"",F107&lt;&gt;""),"剑雅"&amp;B107&amp;"-T"&amp;C107&amp;"-第"&amp;IF(D107="",1,D107)&amp;"次","")</x:f>
      </x:c>
      <x:c r="L107" s="116" t="str">
        <x:f>IF(E107&lt;&gt;"",E107,"")</x:f>
      </x:c>
      <x:c r="M107" s="116" t="str">
        <x:f>IF(F107&lt;&gt;"",F107,"")</x:f>
      </x:c>
      <x:c r="N107" s="116" t="str">
        <x:f>IF(G107&lt;&gt;"",G107,"")</x:f>
      </x:c>
    </x:row>
    <x:row r="108">
      <x:c r="A108" s="114" t="str">
        <x:f>IF(OR('练习记录'!$J$108&lt;&gt;"",'练习记录'!$O$108&lt;&gt;""),'练习记录'!$A$108,"")</x:f>
      </x:c>
      <x:c r="B108" s="132" t="str">
        <x:f>IF(OR('练习记录'!$J$108&lt;&gt;"",'练习记录'!$O$108&lt;&gt;""),IFERROR('练习记录'!$B$105,""),"")</x:f>
      </x:c>
      <x:c r="C108" s="132" t="str">
        <x:f>IF(OR('练习记录'!$J$108&lt;&gt;"",'练习记录'!$O$108&lt;&gt;""),'练习记录'!$C$108,"")</x:f>
      </x:c>
      <x:c r="D108" s="132" t="str">
        <x:f>IF(OR('练习记录'!$J$108&lt;&gt;"",'练习记录'!$O$108&lt;&gt;""),'练习记录'!$D$108,"")</x:f>
      </x:c>
      <x:c r="E108" s="116" t="str">
        <x:f>IF('练习记录'!$J$108&lt;&gt;"",'练习记录'!$J$108,"")</x:f>
      </x:c>
      <x:c r="F108" s="116" t="str">
        <x:f>IF('练习记录'!$O$108&lt;&gt;"",'练习记录'!$O$108,"")</x:f>
      </x:c>
      <x:c r="G108" s="116" t="str">
        <x:f>IF('练习记录'!$P$108&lt;&gt;"",'练习记录'!$P$108,"")</x:f>
      </x:c>
      <x:c r="H108" s="116" t="str">
        <x:f>IF('练习记录'!$Q$108&lt;&gt;"",'练习记录'!$Q$108,"")</x:f>
      </x:c>
      <x:c r="I108" s="115" t="n">
        <x:f>'练习记录'!$R$108</x:f>
        <x:v>0</x:v>
      </x:c>
      <x:c r="K108" s="115" t="str">
        <x:f>IF(OR(E108&lt;&gt;"",F108&lt;&gt;""),"剑雅"&amp;B108&amp;"-T"&amp;C108&amp;"-第"&amp;IF(D108="",1,D108)&amp;"次","")</x:f>
      </x:c>
      <x:c r="L108" s="116" t="str">
        <x:f>IF(E108&lt;&gt;"",E108,"")</x:f>
      </x:c>
      <x:c r="M108" s="116" t="str">
        <x:f>IF(F108&lt;&gt;"",F108,"")</x:f>
      </x:c>
      <x:c r="N108" s="116" t="str">
        <x:f>IF(G108&lt;&gt;"",G108,"")</x:f>
      </x:c>
    </x:row>
    <x:row r="109">
      <x:c r="A109" s="114" t="str">
        <x:f>IF(OR('练习记录'!$J$109&lt;&gt;"",'练习记录'!$O$109&lt;&gt;""),'练习记录'!$A$109,"")</x:f>
      </x:c>
      <x:c r="B109" s="132" t="str">
        <x:f>IF(OR('练习记录'!$J$109&lt;&gt;"",'练习记录'!$O$109&lt;&gt;""),IFERROR('练习记录'!$B$109,""),"")</x:f>
      </x:c>
      <x:c r="C109" s="132" t="str">
        <x:f>IF(OR('练习记录'!$J$109&lt;&gt;"",'练习记录'!$O$109&lt;&gt;""),'练习记录'!$C$109,"")</x:f>
      </x:c>
      <x:c r="D109" s="132" t="str">
        <x:f>IF(OR('练习记录'!$J$109&lt;&gt;"",'练习记录'!$O$109&lt;&gt;""),'练习记录'!$D$109,"")</x:f>
      </x:c>
      <x:c r="E109" s="116" t="str">
        <x:f>IF('练习记录'!$J$109&lt;&gt;"",'练习记录'!$J$109,"")</x:f>
      </x:c>
      <x:c r="F109" s="116" t="str">
        <x:f>IF('练习记录'!$O$109&lt;&gt;"",'练习记录'!$O$109,"")</x:f>
      </x:c>
      <x:c r="G109" s="116" t="str">
        <x:f>IF('练习记录'!$P$109&lt;&gt;"",'练习记录'!$P$109,"")</x:f>
      </x:c>
      <x:c r="H109" s="116" t="str">
        <x:f>IF('练习记录'!$Q$109&lt;&gt;"",'练习记录'!$Q$109,"")</x:f>
      </x:c>
      <x:c r="I109" s="115" t="n">
        <x:f>'练习记录'!$R$109</x:f>
        <x:v>0</x:v>
      </x:c>
      <x:c r="K109" s="115" t="str">
        <x:f>IF(OR(E109&lt;&gt;"",F109&lt;&gt;""),"剑雅"&amp;B109&amp;"-T"&amp;C109&amp;"-第"&amp;IF(D109="",1,D109)&amp;"次","")</x:f>
      </x:c>
      <x:c r="L109" s="116" t="str">
        <x:f>IF(E109&lt;&gt;"",E109,"")</x:f>
      </x:c>
      <x:c r="M109" s="116" t="str">
        <x:f>IF(F109&lt;&gt;"",F109,"")</x:f>
      </x:c>
      <x:c r="N109" s="116" t="str">
        <x:f>IF(G109&lt;&gt;"",G109,"")</x:f>
      </x:c>
    </x:row>
    <x:row r="110">
      <x:c r="A110" s="114" t="str">
        <x:f>IF(OR('练习记录'!$J$110&lt;&gt;"",'练习记录'!$O$110&lt;&gt;""),'练习记录'!$A$110,"")</x:f>
      </x:c>
      <x:c r="B110" s="132" t="str">
        <x:f>IF(OR('练习记录'!$J$110&lt;&gt;"",'练习记录'!$O$110&lt;&gt;""),IFERROR('练习记录'!$B$109,""),"")</x:f>
      </x:c>
      <x:c r="C110" s="132" t="str">
        <x:f>IF(OR('练习记录'!$J$110&lt;&gt;"",'练习记录'!$O$110&lt;&gt;""),'练习记录'!$C$110,"")</x:f>
      </x:c>
      <x:c r="D110" s="132" t="str">
        <x:f>IF(OR('练习记录'!$J$110&lt;&gt;"",'练习记录'!$O$110&lt;&gt;""),'练习记录'!$D$110,"")</x:f>
      </x:c>
      <x:c r="E110" s="116" t="str">
        <x:f>IF('练习记录'!$J$110&lt;&gt;"",'练习记录'!$J$110,"")</x:f>
      </x:c>
      <x:c r="F110" s="116" t="str">
        <x:f>IF('练习记录'!$O$110&lt;&gt;"",'练习记录'!$O$110,"")</x:f>
      </x:c>
      <x:c r="G110" s="116" t="str">
        <x:f>IF('练习记录'!$P$110&lt;&gt;"",'练习记录'!$P$110,"")</x:f>
      </x:c>
      <x:c r="H110" s="116" t="str">
        <x:f>IF('练习记录'!$Q$110&lt;&gt;"",'练习记录'!$Q$110,"")</x:f>
      </x:c>
      <x:c r="I110" s="115" t="n">
        <x:f>'练习记录'!$R$110</x:f>
        <x:v>0</x:v>
      </x:c>
      <x:c r="K110" s="115" t="str">
        <x:f>IF(OR(E110&lt;&gt;"",F110&lt;&gt;""),"剑雅"&amp;B110&amp;"-T"&amp;C110&amp;"-第"&amp;IF(D110="",1,D110)&amp;"次","")</x:f>
      </x:c>
      <x:c r="L110" s="116" t="str">
        <x:f>IF(E110&lt;&gt;"",E110,"")</x:f>
      </x:c>
      <x:c r="M110" s="116" t="str">
        <x:f>IF(F110&lt;&gt;"",F110,"")</x:f>
      </x:c>
      <x:c r="N110" s="116" t="str">
        <x:f>IF(G110&lt;&gt;"",G110,"")</x:f>
      </x:c>
    </x:row>
    <x:row r="111">
      <x:c r="A111" s="114" t="str">
        <x:f>IF(OR('练习记录'!$J$111&lt;&gt;"",'练习记录'!$O$111&lt;&gt;""),'练习记录'!$A$111,"")</x:f>
      </x:c>
      <x:c r="B111" s="132" t="str">
        <x:f>IF(OR('练习记录'!$J$111&lt;&gt;"",'练习记录'!$O$111&lt;&gt;""),IFERROR('练习记录'!$B$109,""),"")</x:f>
      </x:c>
      <x:c r="C111" s="132" t="str">
        <x:f>IF(OR('练习记录'!$J$111&lt;&gt;"",'练习记录'!$O$111&lt;&gt;""),'练习记录'!$C$111,"")</x:f>
      </x:c>
      <x:c r="D111" s="132" t="str">
        <x:f>IF(OR('练习记录'!$J$111&lt;&gt;"",'练习记录'!$O$111&lt;&gt;""),'练习记录'!$D$111,"")</x:f>
      </x:c>
      <x:c r="E111" s="116" t="str">
        <x:f>IF('练习记录'!$J$111&lt;&gt;"",'练习记录'!$J$111,"")</x:f>
      </x:c>
      <x:c r="F111" s="116" t="str">
        <x:f>IF('练习记录'!$O$111&lt;&gt;"",'练习记录'!$O$111,"")</x:f>
      </x:c>
      <x:c r="G111" s="116" t="str">
        <x:f>IF('练习记录'!$P$111&lt;&gt;"",'练习记录'!$P$111,"")</x:f>
      </x:c>
      <x:c r="H111" s="116" t="str">
        <x:f>IF('练习记录'!$Q$111&lt;&gt;"",'练习记录'!$Q$111,"")</x:f>
      </x:c>
      <x:c r="I111" s="115" t="n">
        <x:f>'练习记录'!$R$111</x:f>
        <x:v>0</x:v>
      </x:c>
      <x:c r="K111" s="115" t="str">
        <x:f>IF(OR(E111&lt;&gt;"",F111&lt;&gt;""),"剑雅"&amp;B111&amp;"-T"&amp;C111&amp;"-第"&amp;IF(D111="",1,D111)&amp;"次","")</x:f>
      </x:c>
      <x:c r="L111" s="116" t="str">
        <x:f>IF(E111&lt;&gt;"",E111,"")</x:f>
      </x:c>
      <x:c r="M111" s="116" t="str">
        <x:f>IF(F111&lt;&gt;"",F111,"")</x:f>
      </x:c>
      <x:c r="N111" s="116" t="str">
        <x:f>IF(G111&lt;&gt;"",G111,"")</x:f>
      </x:c>
    </x:row>
    <x:row r="112">
      <x:c r="A112" s="114" t="str">
        <x:f>IF(OR('练习记录'!$J$112&lt;&gt;"",'练习记录'!$O$112&lt;&gt;""),'练习记录'!$A$112,"")</x:f>
      </x:c>
      <x:c r="B112" s="132" t="str">
        <x:f>IF(OR('练习记录'!$J$112&lt;&gt;"",'练习记录'!$O$112&lt;&gt;""),IFERROR('练习记录'!$B$109,""),"")</x:f>
      </x:c>
      <x:c r="C112" s="132" t="str">
        <x:f>IF(OR('练习记录'!$J$112&lt;&gt;"",'练习记录'!$O$112&lt;&gt;""),'练习记录'!$C$112,"")</x:f>
      </x:c>
      <x:c r="D112" s="132" t="str">
        <x:f>IF(OR('练习记录'!$J$112&lt;&gt;"",'练习记录'!$O$112&lt;&gt;""),'练习记录'!$D$112,"")</x:f>
      </x:c>
      <x:c r="E112" s="116" t="str">
        <x:f>IF('练习记录'!$J$112&lt;&gt;"",'练习记录'!$J$112,"")</x:f>
      </x:c>
      <x:c r="F112" s="116" t="str">
        <x:f>IF('练习记录'!$O$112&lt;&gt;"",'练习记录'!$O$112,"")</x:f>
      </x:c>
      <x:c r="G112" s="116" t="str">
        <x:f>IF('练习记录'!$P$112&lt;&gt;"",'练习记录'!$P$112,"")</x:f>
      </x:c>
      <x:c r="H112" s="116" t="str">
        <x:f>IF('练习记录'!$Q$112&lt;&gt;"",'练习记录'!$Q$112,"")</x:f>
      </x:c>
      <x:c r="I112" s="115" t="n">
        <x:f>'练习记录'!$R$112</x:f>
        <x:v>0</x:v>
      </x:c>
      <x:c r="K112" s="115" t="str">
        <x:f>IF(OR(E112&lt;&gt;"",F112&lt;&gt;""),"剑雅"&amp;B112&amp;"-T"&amp;C112&amp;"-第"&amp;IF(D112="",1,D112)&amp;"次","")</x:f>
      </x:c>
      <x:c r="L112" s="116" t="str">
        <x:f>IF(E112&lt;&gt;"",E112,"")</x:f>
      </x:c>
      <x:c r="M112" s="116" t="str">
        <x:f>IF(F112&lt;&gt;"",F112,"")</x:f>
      </x:c>
      <x:c r="N112" s="116" t="str">
        <x:f>IF(G112&lt;&gt;"",G112,"")</x:f>
      </x:c>
    </x:row>
    <x:row r="113">
      <x:c r="A113" s="114" t="str">
        <x:f>IF(OR('练习记录'!$J$113&lt;&gt;"",'练习记录'!$O$113&lt;&gt;""),'练习记录'!$A$113,"")</x:f>
      </x:c>
      <x:c r="B113" s="132" t="str">
        <x:f>IF(OR('练习记录'!$J$113&lt;&gt;"",'练习记录'!$O$113&lt;&gt;""),IFERROR('练习记录'!$B$113,""),"")</x:f>
      </x:c>
      <x:c r="C113" s="132" t="str">
        <x:f>IF(OR('练习记录'!$J$113&lt;&gt;"",'练习记录'!$O$113&lt;&gt;""),'练习记录'!$C$113,"")</x:f>
      </x:c>
      <x:c r="D113" s="132" t="str">
        <x:f>IF(OR('练习记录'!$J$113&lt;&gt;"",'练习记录'!$O$113&lt;&gt;""),'练习记录'!$D$113,"")</x:f>
      </x:c>
      <x:c r="E113" s="116" t="str">
        <x:f>IF('练习记录'!$J$113&lt;&gt;"",'练习记录'!$J$113,"")</x:f>
      </x:c>
      <x:c r="F113" s="116" t="str">
        <x:f>IF('练习记录'!$O$113&lt;&gt;"",'练习记录'!$O$113,"")</x:f>
      </x:c>
      <x:c r="G113" s="116" t="str">
        <x:f>IF('练习记录'!$P$113&lt;&gt;"",'练习记录'!$P$113,"")</x:f>
      </x:c>
      <x:c r="H113" s="116" t="str">
        <x:f>IF('练习记录'!$Q$113&lt;&gt;"",'练习记录'!$Q$113,"")</x:f>
      </x:c>
      <x:c r="I113" s="115" t="n">
        <x:f>'练习记录'!$R$113</x:f>
        <x:v>0</x:v>
      </x:c>
      <x:c r="K113" s="115" t="str">
        <x:f>IF(OR(E113&lt;&gt;"",F113&lt;&gt;""),"剑雅"&amp;B113&amp;"-T"&amp;C113&amp;"-第"&amp;IF(D113="",1,D113)&amp;"次","")</x:f>
      </x:c>
      <x:c r="L113" s="116" t="str">
        <x:f>IF(E113&lt;&gt;"",E113,"")</x:f>
      </x:c>
      <x:c r="M113" s="116" t="str">
        <x:f>IF(F113&lt;&gt;"",F113,"")</x:f>
      </x:c>
      <x:c r="N113" s="116" t="str">
        <x:f>IF(G113&lt;&gt;"",G113,"")</x:f>
      </x:c>
    </x:row>
    <x:row r="114">
      <x:c r="A114" s="114" t="str">
        <x:f>IF(OR('练习记录'!$J$114&lt;&gt;"",'练习记录'!$O$114&lt;&gt;""),'练习记录'!$A$114,"")</x:f>
      </x:c>
      <x:c r="B114" s="132" t="str">
        <x:f>IF(OR('练习记录'!$J$114&lt;&gt;"",'练习记录'!$O$114&lt;&gt;""),IFERROR('练习记录'!$B$113,""),"")</x:f>
      </x:c>
      <x:c r="C114" s="132" t="str">
        <x:f>IF(OR('练习记录'!$J$114&lt;&gt;"",'练习记录'!$O$114&lt;&gt;""),'练习记录'!$C$114,"")</x:f>
      </x:c>
      <x:c r="D114" s="132" t="str">
        <x:f>IF(OR('练习记录'!$J$114&lt;&gt;"",'练习记录'!$O$114&lt;&gt;""),'练习记录'!$D$114,"")</x:f>
      </x:c>
      <x:c r="E114" s="116" t="str">
        <x:f>IF('练习记录'!$J$114&lt;&gt;"",'练习记录'!$J$114,"")</x:f>
      </x:c>
      <x:c r="F114" s="116" t="str">
        <x:f>IF('练习记录'!$O$114&lt;&gt;"",'练习记录'!$O$114,"")</x:f>
      </x:c>
      <x:c r="G114" s="116" t="str">
        <x:f>IF('练习记录'!$P$114&lt;&gt;"",'练习记录'!$P$114,"")</x:f>
      </x:c>
      <x:c r="H114" s="116" t="str">
        <x:f>IF('练习记录'!$Q$114&lt;&gt;"",'练习记录'!$Q$114,"")</x:f>
      </x:c>
      <x:c r="I114" s="115" t="n">
        <x:f>'练习记录'!$R$114</x:f>
        <x:v>0</x:v>
      </x:c>
      <x:c r="K114" s="115" t="str">
        <x:f>IF(OR(E114&lt;&gt;"",F114&lt;&gt;""),"剑雅"&amp;B114&amp;"-T"&amp;C114&amp;"-第"&amp;IF(D114="",1,D114)&amp;"次","")</x:f>
      </x:c>
      <x:c r="L114" s="116" t="str">
        <x:f>IF(E114&lt;&gt;"",E114,"")</x:f>
      </x:c>
      <x:c r="M114" s="116" t="str">
        <x:f>IF(F114&lt;&gt;"",F114,"")</x:f>
      </x:c>
      <x:c r="N114" s="116" t="str">
        <x:f>IF(G114&lt;&gt;"",G114,"")</x:f>
      </x:c>
    </x:row>
    <x:row r="115">
      <x:c r="A115" s="114" t="str">
        <x:f>IF(OR('练习记录'!$J$115&lt;&gt;"",'练习记录'!$O$115&lt;&gt;""),'练习记录'!$A$115,"")</x:f>
      </x:c>
      <x:c r="B115" s="132" t="str">
        <x:f>IF(OR('练习记录'!$J$115&lt;&gt;"",'练习记录'!$O$115&lt;&gt;""),IFERROR('练习记录'!$B$113,""),"")</x:f>
      </x:c>
      <x:c r="C115" s="132" t="str">
        <x:f>IF(OR('练习记录'!$J$115&lt;&gt;"",'练习记录'!$O$115&lt;&gt;""),'练习记录'!$C$115,"")</x:f>
      </x:c>
      <x:c r="D115" s="132" t="str">
        <x:f>IF(OR('练习记录'!$J$115&lt;&gt;"",'练习记录'!$O$115&lt;&gt;""),'练习记录'!$D$115,"")</x:f>
      </x:c>
      <x:c r="E115" s="116" t="str">
        <x:f>IF('练习记录'!$J$115&lt;&gt;"",'练习记录'!$J$115,"")</x:f>
      </x:c>
      <x:c r="F115" s="116" t="str">
        <x:f>IF('练习记录'!$O$115&lt;&gt;"",'练习记录'!$O$115,"")</x:f>
      </x:c>
      <x:c r="G115" s="116" t="str">
        <x:f>IF('练习记录'!$P$115&lt;&gt;"",'练习记录'!$P$115,"")</x:f>
      </x:c>
      <x:c r="H115" s="116" t="str">
        <x:f>IF('练习记录'!$Q$115&lt;&gt;"",'练习记录'!$Q$115,"")</x:f>
      </x:c>
      <x:c r="I115" s="115" t="n">
        <x:f>'练习记录'!$R$115</x:f>
        <x:v>0</x:v>
      </x:c>
      <x:c r="K115" s="115" t="str">
        <x:f>IF(OR(E115&lt;&gt;"",F115&lt;&gt;""),"剑雅"&amp;B115&amp;"-T"&amp;C115&amp;"-第"&amp;IF(D115="",1,D115)&amp;"次","")</x:f>
      </x:c>
      <x:c r="L115" s="116" t="str">
        <x:f>IF(E115&lt;&gt;"",E115,"")</x:f>
      </x:c>
      <x:c r="M115" s="116" t="str">
        <x:f>IF(F115&lt;&gt;"",F115,"")</x:f>
      </x:c>
      <x:c r="N115" s="116" t="str">
        <x:f>IF(G115&lt;&gt;"",G115,"")</x:f>
      </x:c>
    </x:row>
    <x:row r="116">
      <x:c r="A116" s="114" t="str">
        <x:f>IF(OR('练习记录'!$J$116&lt;&gt;"",'练习记录'!$O$116&lt;&gt;""),'练习记录'!$A$116,"")</x:f>
      </x:c>
      <x:c r="B116" s="132" t="str">
        <x:f>IF(OR('练习记录'!$J$116&lt;&gt;"",'练习记录'!$O$116&lt;&gt;""),IFERROR('练习记录'!$B$113,""),"")</x:f>
      </x:c>
      <x:c r="C116" s="132" t="str">
        <x:f>IF(OR('练习记录'!$J$116&lt;&gt;"",'练习记录'!$O$116&lt;&gt;""),'练习记录'!$C$116,"")</x:f>
      </x:c>
      <x:c r="D116" s="132" t="str">
        <x:f>IF(OR('练习记录'!$J$116&lt;&gt;"",'练习记录'!$O$116&lt;&gt;""),'练习记录'!$D$116,"")</x:f>
      </x:c>
      <x:c r="E116" s="116" t="str">
        <x:f>IF('练习记录'!$J$116&lt;&gt;"",'练习记录'!$J$116,"")</x:f>
      </x:c>
      <x:c r="F116" s="116" t="str">
        <x:f>IF('练习记录'!$O$116&lt;&gt;"",'练习记录'!$O$116,"")</x:f>
      </x:c>
      <x:c r="G116" s="116" t="str">
        <x:f>IF('练习记录'!$P$116&lt;&gt;"",'练习记录'!$P$116,"")</x:f>
      </x:c>
      <x:c r="H116" s="116" t="str">
        <x:f>IF('练习记录'!$Q$116&lt;&gt;"",'练习记录'!$Q$116,"")</x:f>
      </x:c>
      <x:c r="I116" s="115" t="n">
        <x:f>'练习记录'!$R$116</x:f>
        <x:v>0</x:v>
      </x:c>
      <x:c r="K116" s="115" t="str">
        <x:f>IF(OR(E116&lt;&gt;"",F116&lt;&gt;""),"剑雅"&amp;B116&amp;"-T"&amp;C116&amp;"-第"&amp;IF(D116="",1,D116)&amp;"次","")</x:f>
      </x:c>
      <x:c r="L116" s="116" t="str">
        <x:f>IF(E116&lt;&gt;"",E116,"")</x:f>
      </x:c>
      <x:c r="M116" s="116" t="str">
        <x:f>IF(F116&lt;&gt;"",F116,"")</x:f>
      </x:c>
      <x:c r="N116" s="116" t="str">
        <x:f>IF(G116&lt;&gt;"",G116,"")</x:f>
      </x:c>
    </x:row>
    <x:row r="117">
      <x:c r="A117" s="114" t="str">
        <x:f>IF(OR('练习记录'!$J$117&lt;&gt;"",'练习记录'!$O$117&lt;&gt;""),'练习记录'!$A$117,"")</x:f>
      </x:c>
      <x:c r="B117" s="132" t="str">
        <x:f>IF(OR('练习记录'!$J$117&lt;&gt;"",'练习记录'!$O$117&lt;&gt;""),IFERROR('练习记录'!$B$117,""),"")</x:f>
      </x:c>
      <x:c r="C117" s="132" t="str">
        <x:f>IF(OR('练习记录'!$J$117&lt;&gt;"",'练习记录'!$O$117&lt;&gt;""),'练习记录'!$C$117,"")</x:f>
      </x:c>
      <x:c r="D117" s="132" t="str">
        <x:f>IF(OR('练习记录'!$J$117&lt;&gt;"",'练习记录'!$O$117&lt;&gt;""),'练习记录'!$D$117,"")</x:f>
      </x:c>
      <x:c r="E117" s="116" t="str">
        <x:f>IF('练习记录'!$J$117&lt;&gt;"",'练习记录'!$J$117,"")</x:f>
      </x:c>
      <x:c r="F117" s="116" t="str">
        <x:f>IF('练习记录'!$O$117&lt;&gt;"",'练习记录'!$O$117,"")</x:f>
      </x:c>
      <x:c r="G117" s="116" t="str">
        <x:f>IF('练习记录'!$P$117&lt;&gt;"",'练习记录'!$P$117,"")</x:f>
      </x:c>
      <x:c r="H117" s="116" t="str">
        <x:f>IF('练习记录'!$Q$117&lt;&gt;"",'练习记录'!$Q$117,"")</x:f>
      </x:c>
      <x:c r="I117" s="115" t="n">
        <x:f>'练习记录'!$R$117</x:f>
        <x:v>0</x:v>
      </x:c>
      <x:c r="K117" s="115" t="str">
        <x:f>IF(OR(E117&lt;&gt;"",F117&lt;&gt;""),"剑雅"&amp;B117&amp;"-T"&amp;C117&amp;"-第"&amp;IF(D117="",1,D117)&amp;"次","")</x:f>
      </x:c>
      <x:c r="L117" s="116" t="str">
        <x:f>IF(E117&lt;&gt;"",E117,"")</x:f>
      </x:c>
      <x:c r="M117" s="116" t="str">
        <x:f>IF(F117&lt;&gt;"",F117,"")</x:f>
      </x:c>
      <x:c r="N117" s="116" t="str">
        <x:f>IF(G117&lt;&gt;"",G117,"")</x:f>
      </x:c>
    </x:row>
    <x:row r="118">
      <x:c r="A118" s="114" t="str">
        <x:f>IF(OR('练习记录'!$J$118&lt;&gt;"",'练习记录'!$O$118&lt;&gt;""),'练习记录'!$A$118,"")</x:f>
      </x:c>
      <x:c r="B118" s="132" t="str">
        <x:f>IF(OR('练习记录'!$J$118&lt;&gt;"",'练习记录'!$O$118&lt;&gt;""),IFERROR('练习记录'!$B$117,""),"")</x:f>
      </x:c>
      <x:c r="C118" s="132" t="str">
        <x:f>IF(OR('练习记录'!$J$118&lt;&gt;"",'练习记录'!$O$118&lt;&gt;""),'练习记录'!$C$118,"")</x:f>
      </x:c>
      <x:c r="D118" s="132" t="str">
        <x:f>IF(OR('练习记录'!$J$118&lt;&gt;"",'练习记录'!$O$118&lt;&gt;""),'练习记录'!$D$118,"")</x:f>
      </x:c>
      <x:c r="E118" s="116" t="str">
        <x:f>IF('练习记录'!$J$118&lt;&gt;"",'练习记录'!$J$118,"")</x:f>
      </x:c>
      <x:c r="F118" s="116" t="str">
        <x:f>IF('练习记录'!$O$118&lt;&gt;"",'练习记录'!$O$118,"")</x:f>
      </x:c>
      <x:c r="G118" s="116" t="str">
        <x:f>IF('练习记录'!$P$118&lt;&gt;"",'练习记录'!$P$118,"")</x:f>
      </x:c>
      <x:c r="H118" s="116" t="str">
        <x:f>IF('练习记录'!$Q$118&lt;&gt;"",'练习记录'!$Q$118,"")</x:f>
      </x:c>
      <x:c r="I118" s="115" t="n">
        <x:f>'练习记录'!$R$118</x:f>
        <x:v>0</x:v>
      </x:c>
      <x:c r="K118" s="115" t="str">
        <x:f>IF(OR(E118&lt;&gt;"",F118&lt;&gt;""),"剑雅"&amp;B118&amp;"-T"&amp;C118&amp;"-第"&amp;IF(D118="",1,D118)&amp;"次","")</x:f>
      </x:c>
      <x:c r="L118" s="116" t="str">
        <x:f>IF(E118&lt;&gt;"",E118,"")</x:f>
      </x:c>
      <x:c r="M118" s="116" t="str">
        <x:f>IF(F118&lt;&gt;"",F118,"")</x:f>
      </x:c>
      <x:c r="N118" s="116" t="str">
        <x:f>IF(G118&lt;&gt;"",G118,"")</x:f>
      </x:c>
    </x:row>
    <x:row r="119">
      <x:c r="A119" s="114" t="str">
        <x:f>IF(OR('练习记录'!$J$119&lt;&gt;"",'练习记录'!$O$119&lt;&gt;""),'练习记录'!$A$119,"")</x:f>
      </x:c>
      <x:c r="B119" s="132" t="str">
        <x:f>IF(OR('练习记录'!$J$119&lt;&gt;"",'练习记录'!$O$119&lt;&gt;""),IFERROR('练习记录'!$B$117,""),"")</x:f>
      </x:c>
      <x:c r="C119" s="132" t="str">
        <x:f>IF(OR('练习记录'!$J$119&lt;&gt;"",'练习记录'!$O$119&lt;&gt;""),'练习记录'!$C$119,"")</x:f>
      </x:c>
      <x:c r="D119" s="132" t="str">
        <x:f>IF(OR('练习记录'!$J$119&lt;&gt;"",'练习记录'!$O$119&lt;&gt;""),'练习记录'!$D$119,"")</x:f>
      </x:c>
      <x:c r="E119" s="116" t="str">
        <x:f>IF('练习记录'!$J$119&lt;&gt;"",'练习记录'!$J$119,"")</x:f>
      </x:c>
      <x:c r="F119" s="116" t="str">
        <x:f>IF('练习记录'!$O$119&lt;&gt;"",'练习记录'!$O$119,"")</x:f>
      </x:c>
      <x:c r="G119" s="116" t="str">
        <x:f>IF('练习记录'!$P$119&lt;&gt;"",'练习记录'!$P$119,"")</x:f>
      </x:c>
      <x:c r="H119" s="116" t="str">
        <x:f>IF('练习记录'!$Q$119&lt;&gt;"",'练习记录'!$Q$119,"")</x:f>
      </x:c>
      <x:c r="I119" s="115" t="n">
        <x:f>'练习记录'!$R$119</x:f>
        <x:v>0</x:v>
      </x:c>
      <x:c r="K119" s="115" t="str">
        <x:f>IF(OR(E119&lt;&gt;"",F119&lt;&gt;""),"剑雅"&amp;B119&amp;"-T"&amp;C119&amp;"-第"&amp;IF(D119="",1,D119)&amp;"次","")</x:f>
      </x:c>
      <x:c r="L119" s="116" t="str">
        <x:f>IF(E119&lt;&gt;"",E119,"")</x:f>
      </x:c>
      <x:c r="M119" s="116" t="str">
        <x:f>IF(F119&lt;&gt;"",F119,"")</x:f>
      </x:c>
      <x:c r="N119" s="116" t="str">
        <x:f>IF(G119&lt;&gt;"",G119,"")</x:f>
      </x:c>
    </x:row>
    <x:row r="120">
      <x:c r="A120" s="114" t="str">
        <x:f>IF(OR('练习记录'!$J$120&lt;&gt;"",'练习记录'!$O$120&lt;&gt;""),'练习记录'!$A$120,"")</x:f>
      </x:c>
      <x:c r="B120" s="132" t="str">
        <x:f>IF(OR('练习记录'!$J$120&lt;&gt;"",'练习记录'!$O$120&lt;&gt;""),IFERROR('练习记录'!$B$117,""),"")</x:f>
      </x:c>
      <x:c r="C120" s="132" t="str">
        <x:f>IF(OR('练习记录'!$J$120&lt;&gt;"",'练习记录'!$O$120&lt;&gt;""),'练习记录'!$C$120,"")</x:f>
      </x:c>
      <x:c r="D120" s="132" t="str">
        <x:f>IF(OR('练习记录'!$J$120&lt;&gt;"",'练习记录'!$O$120&lt;&gt;""),'练习记录'!$D$120,"")</x:f>
      </x:c>
      <x:c r="E120" s="116" t="str">
        <x:f>IF('练习记录'!$J$120&lt;&gt;"",'练习记录'!$J$120,"")</x:f>
      </x:c>
      <x:c r="F120" s="116" t="str">
        <x:f>IF('练习记录'!$O$120&lt;&gt;"",'练习记录'!$O$120,"")</x:f>
      </x:c>
      <x:c r="G120" s="116" t="str">
        <x:f>IF('练习记录'!$P$120&lt;&gt;"",'练习记录'!$P$120,"")</x:f>
      </x:c>
      <x:c r="H120" s="116" t="str">
        <x:f>IF('练习记录'!$Q$120&lt;&gt;"",'练习记录'!$Q$120,"")</x:f>
      </x:c>
      <x:c r="I120" s="115" t="n">
        <x:f>'练习记录'!$R$120</x:f>
        <x:v>0</x:v>
      </x:c>
      <x:c r="K120" s="115" t="str">
        <x:f>IF(OR(E120&lt;&gt;"",F120&lt;&gt;""),"剑雅"&amp;B120&amp;"-T"&amp;C120&amp;"-第"&amp;IF(D120="",1,D120)&amp;"次","")</x:f>
      </x:c>
      <x:c r="L120" s="116" t="str">
        <x:f>IF(E120&lt;&gt;"",E120,"")</x:f>
      </x:c>
      <x:c r="M120" s="116" t="str">
        <x:f>IF(F120&lt;&gt;"",F120,"")</x:f>
      </x:c>
      <x:c r="N120" s="116" t="str">
        <x:f>IF(G120&lt;&gt;"",G120,"")</x:f>
      </x:c>
    </x:row>
    <x:row r="121">
      <x:c r="A121" s="114" t="str">
        <x:f>IF(OR('练习记录'!$J$121&lt;&gt;"",'练习记录'!$O$121&lt;&gt;""),'练习记录'!$A$121,"")</x:f>
      </x:c>
      <x:c r="B121" s="132" t="str">
        <x:f>IF(OR('练习记录'!$J$121&lt;&gt;"",'练习记录'!$O$121&lt;&gt;""),IFERROR('练习记录'!$B$121,""),"")</x:f>
      </x:c>
      <x:c r="C121" s="132" t="str">
        <x:f>IF(OR('练习记录'!$J$121&lt;&gt;"",'练习记录'!$O$121&lt;&gt;""),'练习记录'!$C$121,"")</x:f>
      </x:c>
      <x:c r="D121" s="132" t="str">
        <x:f>IF(OR('练习记录'!$J$121&lt;&gt;"",'练习记录'!$O$121&lt;&gt;""),'练习记录'!$D$121,"")</x:f>
      </x:c>
      <x:c r="E121" s="116" t="str">
        <x:f>IF('练习记录'!$J$121&lt;&gt;"",'练习记录'!$J$121,"")</x:f>
      </x:c>
      <x:c r="F121" s="116" t="str">
        <x:f>IF('练习记录'!$O$121&lt;&gt;"",'练习记录'!$O$121,"")</x:f>
      </x:c>
      <x:c r="G121" s="116" t="str">
        <x:f>IF('练习记录'!$P$121&lt;&gt;"",'练习记录'!$P$121,"")</x:f>
      </x:c>
      <x:c r="H121" s="116" t="str">
        <x:f>IF('练习记录'!$Q$121&lt;&gt;"",'练习记录'!$Q$121,"")</x:f>
      </x:c>
      <x:c r="I121" s="115" t="n">
        <x:f>'练习记录'!$R$121</x:f>
        <x:v>0</x:v>
      </x:c>
      <x:c r="K121" s="115" t="str">
        <x:f>IF(OR(E121&lt;&gt;"",F121&lt;&gt;""),"剑雅"&amp;B121&amp;"-T"&amp;C121&amp;"-第"&amp;IF(D121="",1,D121)&amp;"次","")</x:f>
      </x:c>
      <x:c r="L121" s="116" t="str">
        <x:f>IF(E121&lt;&gt;"",E121,"")</x:f>
      </x:c>
      <x:c r="M121" s="116" t="str">
        <x:f>IF(F121&lt;&gt;"",F121,"")</x:f>
      </x:c>
      <x:c r="N121" s="116" t="str">
        <x:f>IF(G121&lt;&gt;"",G121,"")</x:f>
      </x:c>
    </x:row>
    <x:row r="122">
      <x:c r="A122" s="114" t="str">
        <x:f>IF(OR('练习记录'!$J$122&lt;&gt;"",'练习记录'!$O$122&lt;&gt;""),'练习记录'!$A$122,"")</x:f>
      </x:c>
      <x:c r="B122" s="132" t="str">
        <x:f>IF(OR('练习记录'!$J$122&lt;&gt;"",'练习记录'!$O$122&lt;&gt;""),IFERROR('练习记录'!$B$121,""),"")</x:f>
      </x:c>
      <x:c r="C122" s="132" t="str">
        <x:f>IF(OR('练习记录'!$J$122&lt;&gt;"",'练习记录'!$O$122&lt;&gt;""),'练习记录'!$C$122,"")</x:f>
      </x:c>
      <x:c r="D122" s="132" t="str">
        <x:f>IF(OR('练习记录'!$J$122&lt;&gt;"",'练习记录'!$O$122&lt;&gt;""),'练习记录'!$D$122,"")</x:f>
      </x:c>
      <x:c r="E122" s="116" t="str">
        <x:f>IF('练习记录'!$J$122&lt;&gt;"",'练习记录'!$J$122,"")</x:f>
      </x:c>
      <x:c r="F122" s="116" t="str">
        <x:f>IF('练习记录'!$O$122&lt;&gt;"",'练习记录'!$O$122,"")</x:f>
      </x:c>
      <x:c r="G122" s="116" t="str">
        <x:f>IF('练习记录'!$P$122&lt;&gt;"",'练习记录'!$P$122,"")</x:f>
      </x:c>
      <x:c r="H122" s="116" t="str">
        <x:f>IF('练习记录'!$Q$122&lt;&gt;"",'练习记录'!$Q$122,"")</x:f>
      </x:c>
      <x:c r="I122" s="115" t="n">
        <x:f>'练习记录'!$R$122</x:f>
        <x:v>0</x:v>
      </x:c>
      <x:c r="K122" s="115" t="str">
        <x:f>IF(OR(E122&lt;&gt;"",F122&lt;&gt;""),"剑雅"&amp;B122&amp;"-T"&amp;C122&amp;"-第"&amp;IF(D122="",1,D122)&amp;"次","")</x:f>
      </x:c>
      <x:c r="L122" s="116" t="str">
        <x:f>IF(E122&lt;&gt;"",E122,"")</x:f>
      </x:c>
      <x:c r="M122" s="116" t="str">
        <x:f>IF(F122&lt;&gt;"",F122,"")</x:f>
      </x:c>
      <x:c r="N122" s="116" t="str">
        <x:f>IF(G122&lt;&gt;"",G122,"")</x:f>
      </x:c>
    </x:row>
    <x:row r="123">
      <x:c r="A123" s="114" t="str">
        <x:f>IF(OR('练习记录'!$J$123&lt;&gt;"",'练习记录'!$O$123&lt;&gt;""),'练习记录'!$A$123,"")</x:f>
      </x:c>
      <x:c r="B123" s="132" t="str">
        <x:f>IF(OR('练习记录'!$J$123&lt;&gt;"",'练习记录'!$O$123&lt;&gt;""),IFERROR('练习记录'!$B$121,""),"")</x:f>
      </x:c>
      <x:c r="C123" s="132" t="str">
        <x:f>IF(OR('练习记录'!$J$123&lt;&gt;"",'练习记录'!$O$123&lt;&gt;""),'练习记录'!$C$123,"")</x:f>
      </x:c>
      <x:c r="D123" s="132" t="str">
        <x:f>IF(OR('练习记录'!$J$123&lt;&gt;"",'练习记录'!$O$123&lt;&gt;""),'练习记录'!$D$123,"")</x:f>
      </x:c>
      <x:c r="E123" s="116" t="str">
        <x:f>IF('练习记录'!$J$123&lt;&gt;"",'练习记录'!$J$123,"")</x:f>
      </x:c>
      <x:c r="F123" s="116" t="str">
        <x:f>IF('练习记录'!$O$123&lt;&gt;"",'练习记录'!$O$123,"")</x:f>
      </x:c>
      <x:c r="G123" s="116" t="str">
        <x:f>IF('练习记录'!$P$123&lt;&gt;"",'练习记录'!$P$123,"")</x:f>
      </x:c>
      <x:c r="H123" s="116" t="str">
        <x:f>IF('练习记录'!$Q$123&lt;&gt;"",'练习记录'!$Q$123,"")</x:f>
      </x:c>
      <x:c r="I123" s="115" t="n">
        <x:f>'练习记录'!$R$123</x:f>
        <x:v>0</x:v>
      </x:c>
      <x:c r="K123" s="115" t="str">
        <x:f>IF(OR(E123&lt;&gt;"",F123&lt;&gt;""),"剑雅"&amp;B123&amp;"-T"&amp;C123&amp;"-第"&amp;IF(D123="",1,D123)&amp;"次","")</x:f>
      </x:c>
      <x:c r="L123" s="116" t="str">
        <x:f>IF(E123&lt;&gt;"",E123,"")</x:f>
      </x:c>
      <x:c r="M123" s="116" t="str">
        <x:f>IF(F123&lt;&gt;"",F123,"")</x:f>
      </x:c>
      <x:c r="N123" s="116" t="str">
        <x:f>IF(G123&lt;&gt;"",G123,"")</x:f>
      </x:c>
    </x:row>
    <x:row r="124">
      <x:c r="A124" s="114" t="str">
        <x:f>IF(OR('练习记录'!$J$124&lt;&gt;"",'练习记录'!$O$124&lt;&gt;""),'练习记录'!$A$124,"")</x:f>
      </x:c>
      <x:c r="B124" s="132" t="str">
        <x:f>IF(OR('练习记录'!$J$124&lt;&gt;"",'练习记录'!$O$124&lt;&gt;""),IFERROR('练习记录'!$B$121,""),"")</x:f>
      </x:c>
      <x:c r="C124" s="132" t="str">
        <x:f>IF(OR('练习记录'!$J$124&lt;&gt;"",'练习记录'!$O$124&lt;&gt;""),'练习记录'!$C$124,"")</x:f>
      </x:c>
      <x:c r="D124" s="132" t="str">
        <x:f>IF(OR('练习记录'!$J$124&lt;&gt;"",'练习记录'!$O$124&lt;&gt;""),'练习记录'!$D$124,"")</x:f>
      </x:c>
      <x:c r="E124" s="116" t="str">
        <x:f>IF('练习记录'!$J$124&lt;&gt;"",'练习记录'!$J$124,"")</x:f>
      </x:c>
      <x:c r="F124" s="116" t="str">
        <x:f>IF('练习记录'!$O$124&lt;&gt;"",'练习记录'!$O$124,"")</x:f>
      </x:c>
      <x:c r="G124" s="116" t="str">
        <x:f>IF('练习记录'!$P$124&lt;&gt;"",'练习记录'!$P$124,"")</x:f>
      </x:c>
      <x:c r="H124" s="116" t="str">
        <x:f>IF('练习记录'!$Q$124&lt;&gt;"",'练习记录'!$Q$124,"")</x:f>
      </x:c>
      <x:c r="I124" s="115" t="n">
        <x:f>'练习记录'!$R$124</x:f>
        <x:v>0</x:v>
      </x:c>
      <x:c r="K124" s="115" t="str">
        <x:f>IF(OR(E124&lt;&gt;"",F124&lt;&gt;""),"剑雅"&amp;B124&amp;"-T"&amp;C124&amp;"-第"&amp;IF(D124="",1,D124)&amp;"次","")</x:f>
      </x:c>
      <x:c r="L124" s="116" t="str">
        <x:f>IF(E124&lt;&gt;"",E124,"")</x:f>
      </x:c>
      <x:c r="M124" s="116" t="str">
        <x:f>IF(F124&lt;&gt;"",F124,"")</x:f>
      </x:c>
      <x:c r="N124" s="116" t="str">
        <x:f>IF(G124&lt;&gt;"",G124,"")</x:f>
      </x:c>
    </x:row>
    <x:row r="125">
      <x:c r="A125" s="114" t="str">
        <x:f>IF(OR('练习记录'!$J$125&lt;&gt;"",'练习记录'!$O$125&lt;&gt;""),'练习记录'!$A$125,"")</x:f>
      </x:c>
      <x:c r="B125" s="132" t="str">
        <x:f>IF(OR('练习记录'!$J$125&lt;&gt;"",'练习记录'!$O$125&lt;&gt;""),IFERROR('练习记录'!$B$125,""),"")</x:f>
      </x:c>
      <x:c r="C125" s="132" t="str">
        <x:f>IF(OR('练习记录'!$J$125&lt;&gt;"",'练习记录'!$O$125&lt;&gt;""),'练习记录'!$C$125,"")</x:f>
      </x:c>
      <x:c r="D125" s="132" t="str">
        <x:f>IF(OR('练习记录'!$J$125&lt;&gt;"",'练习记录'!$O$125&lt;&gt;""),'练习记录'!$D$125,"")</x:f>
      </x:c>
      <x:c r="E125" s="116" t="str">
        <x:f>IF('练习记录'!$J$125&lt;&gt;"",'练习记录'!$J$125,"")</x:f>
      </x:c>
      <x:c r="F125" s="116" t="str">
        <x:f>IF('练习记录'!$O$125&lt;&gt;"",'练习记录'!$O$125,"")</x:f>
      </x:c>
      <x:c r="G125" s="116" t="str">
        <x:f>IF('练习记录'!$P$125&lt;&gt;"",'练习记录'!$P$125,"")</x:f>
      </x:c>
      <x:c r="H125" s="116" t="str">
        <x:f>IF('练习记录'!$Q$125&lt;&gt;"",'练习记录'!$Q$125,"")</x:f>
      </x:c>
      <x:c r="I125" s="115" t="n">
        <x:f>'练习记录'!$R$125</x:f>
        <x:v>0</x:v>
      </x:c>
      <x:c r="K125" s="115" t="str">
        <x:f>IF(OR(E125&lt;&gt;"",F125&lt;&gt;""),"剑雅"&amp;B125&amp;"-T"&amp;C125&amp;"-第"&amp;IF(D125="",1,D125)&amp;"次","")</x:f>
      </x:c>
      <x:c r="L125" s="116" t="str">
        <x:f>IF(E125&lt;&gt;"",E125,"")</x:f>
      </x:c>
      <x:c r="M125" s="116" t="str">
        <x:f>IF(F125&lt;&gt;"",F125,"")</x:f>
      </x:c>
      <x:c r="N125" s="116" t="str">
        <x:f>IF(G125&lt;&gt;"",G125,"")</x:f>
      </x:c>
    </x:row>
    <x:row r="126">
      <x:c r="A126" s="114" t="str">
        <x:f>IF(OR('练习记录'!$J$126&lt;&gt;"",'练习记录'!$O$126&lt;&gt;""),'练习记录'!$A$126,"")</x:f>
      </x:c>
      <x:c r="B126" s="132" t="str">
        <x:f>IF(OR('练习记录'!$J$126&lt;&gt;"",'练习记录'!$O$126&lt;&gt;""),IFERROR('练习记录'!$B$125,""),"")</x:f>
      </x:c>
      <x:c r="C126" s="132" t="str">
        <x:f>IF(OR('练习记录'!$J$126&lt;&gt;"",'练习记录'!$O$126&lt;&gt;""),'练习记录'!$C$126,"")</x:f>
      </x:c>
      <x:c r="D126" s="132" t="str">
        <x:f>IF(OR('练习记录'!$J$126&lt;&gt;"",'练习记录'!$O$126&lt;&gt;""),'练习记录'!$D$126,"")</x:f>
      </x:c>
      <x:c r="E126" s="116" t="str">
        <x:f>IF('练习记录'!$J$126&lt;&gt;"",'练习记录'!$J$126,"")</x:f>
      </x:c>
      <x:c r="F126" s="116" t="str">
        <x:f>IF('练习记录'!$O$126&lt;&gt;"",'练习记录'!$O$126,"")</x:f>
      </x:c>
      <x:c r="G126" s="116" t="str">
        <x:f>IF('练习记录'!$P$126&lt;&gt;"",'练习记录'!$P$126,"")</x:f>
      </x:c>
      <x:c r="H126" s="116" t="str">
        <x:f>IF('练习记录'!$Q$126&lt;&gt;"",'练习记录'!$Q$126,"")</x:f>
      </x:c>
      <x:c r="I126" s="115" t="n">
        <x:f>'练习记录'!$R$126</x:f>
        <x:v>0</x:v>
      </x:c>
      <x:c r="K126" s="115" t="str">
        <x:f>IF(OR(E126&lt;&gt;"",F126&lt;&gt;""),"剑雅"&amp;B126&amp;"-T"&amp;C126&amp;"-第"&amp;IF(D126="",1,D126)&amp;"次","")</x:f>
      </x:c>
      <x:c r="L126" s="116" t="str">
        <x:f>IF(E126&lt;&gt;"",E126,"")</x:f>
      </x:c>
      <x:c r="M126" s="116" t="str">
        <x:f>IF(F126&lt;&gt;"",F126,"")</x:f>
      </x:c>
      <x:c r="N126" s="116" t="str">
        <x:f>IF(G126&lt;&gt;"",G126,"")</x:f>
      </x:c>
    </x:row>
    <x:row r="127">
      <x:c r="A127" s="114" t="str">
        <x:f>IF(OR('练习记录'!$J$127&lt;&gt;"",'练习记录'!$O$127&lt;&gt;""),'练习记录'!$A$127,"")</x:f>
      </x:c>
      <x:c r="B127" s="132" t="str">
        <x:f>IF(OR('练习记录'!$J$127&lt;&gt;"",'练习记录'!$O$127&lt;&gt;""),IFERROR('练习记录'!$B$125,""),"")</x:f>
      </x:c>
      <x:c r="C127" s="132" t="str">
        <x:f>IF(OR('练习记录'!$J$127&lt;&gt;"",'练习记录'!$O$127&lt;&gt;""),'练习记录'!$C$127,"")</x:f>
      </x:c>
      <x:c r="D127" s="132" t="str">
        <x:f>IF(OR('练习记录'!$J$127&lt;&gt;"",'练习记录'!$O$127&lt;&gt;""),'练习记录'!$D$127,"")</x:f>
      </x:c>
      <x:c r="E127" s="116" t="str">
        <x:f>IF('练习记录'!$J$127&lt;&gt;"",'练习记录'!$J$127,"")</x:f>
      </x:c>
      <x:c r="F127" s="116" t="str">
        <x:f>IF('练习记录'!$O$127&lt;&gt;"",'练习记录'!$O$127,"")</x:f>
      </x:c>
      <x:c r="G127" s="116" t="str">
        <x:f>IF('练习记录'!$P$127&lt;&gt;"",'练习记录'!$P$127,"")</x:f>
      </x:c>
      <x:c r="H127" s="116" t="str">
        <x:f>IF('练习记录'!$Q$127&lt;&gt;"",'练习记录'!$Q$127,"")</x:f>
      </x:c>
      <x:c r="I127" s="115" t="n">
        <x:f>'练习记录'!$R$127</x:f>
        <x:v>0</x:v>
      </x:c>
      <x:c r="K127" s="115" t="str">
        <x:f>IF(OR(E127&lt;&gt;"",F127&lt;&gt;""),"剑雅"&amp;B127&amp;"-T"&amp;C127&amp;"-第"&amp;IF(D127="",1,D127)&amp;"次","")</x:f>
      </x:c>
      <x:c r="L127" s="116" t="str">
        <x:f>IF(E127&lt;&gt;"",E127,"")</x:f>
      </x:c>
      <x:c r="M127" s="116" t="str">
        <x:f>IF(F127&lt;&gt;"",F127,"")</x:f>
      </x:c>
      <x:c r="N127" s="116" t="str">
        <x:f>IF(G127&lt;&gt;"",G127,"")</x:f>
      </x:c>
    </x:row>
    <x:row r="128">
      <x:c r="A128" s="114" t="str">
        <x:f>IF(OR('练习记录'!$J$128&lt;&gt;"",'练习记录'!$O$128&lt;&gt;""),'练习记录'!$A$128,"")</x:f>
      </x:c>
      <x:c r="B128" s="132" t="str">
        <x:f>IF(OR('练习记录'!$J$128&lt;&gt;"",'练习记录'!$O$128&lt;&gt;""),IFERROR('练习记录'!$B$125,""),"")</x:f>
      </x:c>
      <x:c r="C128" s="132" t="str">
        <x:f>IF(OR('练习记录'!$J$128&lt;&gt;"",'练习记录'!$O$128&lt;&gt;""),'练习记录'!$C$128,"")</x:f>
      </x:c>
      <x:c r="D128" s="132" t="str">
        <x:f>IF(OR('练习记录'!$J$128&lt;&gt;"",'练习记录'!$O$128&lt;&gt;""),'练习记录'!$D$128,"")</x:f>
      </x:c>
      <x:c r="E128" s="116" t="str">
        <x:f>IF('练习记录'!$J$128&lt;&gt;"",'练习记录'!$J$128,"")</x:f>
      </x:c>
      <x:c r="F128" s="116" t="str">
        <x:f>IF('练习记录'!$O$128&lt;&gt;"",'练习记录'!$O$128,"")</x:f>
      </x:c>
      <x:c r="G128" s="116" t="str">
        <x:f>IF('练习记录'!$P$128&lt;&gt;"",'练习记录'!$P$128,"")</x:f>
      </x:c>
      <x:c r="H128" s="116" t="str">
        <x:f>IF('练习记录'!$Q$128&lt;&gt;"",'练习记录'!$Q$128,"")</x:f>
      </x:c>
      <x:c r="I128" s="115" t="n">
        <x:f>'练习记录'!$R$128</x:f>
        <x:v>0</x:v>
      </x:c>
      <x:c r="K128" s="115" t="str">
        <x:f>IF(OR(E128&lt;&gt;"",F128&lt;&gt;""),"剑雅"&amp;B128&amp;"-T"&amp;C128&amp;"-第"&amp;IF(D128="",1,D128)&amp;"次","")</x:f>
      </x:c>
      <x:c r="L128" s="116" t="str">
        <x:f>IF(E128&lt;&gt;"",E128,"")</x:f>
      </x:c>
      <x:c r="M128" s="116" t="str">
        <x:f>IF(F128&lt;&gt;"",F128,"")</x:f>
      </x:c>
      <x:c r="N128" s="116" t="str">
        <x:f>IF(G128&lt;&gt;"",G128,"")</x:f>
      </x:c>
    </x:row>
    <x:row r="129">
      <x:c r="A129" s="114" t="str">
        <x:f>IF(OR('练习记录'!$J$129&lt;&gt;"",'练习记录'!$O$129&lt;&gt;""),'练习记录'!$A$129,"")</x:f>
      </x:c>
      <x:c r="B129" s="132" t="str">
        <x:f>IF(OR('练习记录'!$J$129&lt;&gt;"",'练习记录'!$O$129&lt;&gt;""),IFERROR('练习记录'!$B$129,""),"")</x:f>
      </x:c>
      <x:c r="C129" s="132" t="str">
        <x:f>IF(OR('练习记录'!$J$129&lt;&gt;"",'练习记录'!$O$129&lt;&gt;""),'练习记录'!$C$129,"")</x:f>
      </x:c>
      <x:c r="D129" s="132" t="str">
        <x:f>IF(OR('练习记录'!$J$129&lt;&gt;"",'练习记录'!$O$129&lt;&gt;""),'练习记录'!$D$129,"")</x:f>
      </x:c>
      <x:c r="E129" s="116" t="str">
        <x:f>IF('练习记录'!$J$129&lt;&gt;"",'练习记录'!$J$129,"")</x:f>
      </x:c>
      <x:c r="F129" s="116" t="str">
        <x:f>IF('练习记录'!$O$129&lt;&gt;"",'练习记录'!$O$129,"")</x:f>
      </x:c>
      <x:c r="G129" s="116" t="str">
        <x:f>IF('练习记录'!$P$129&lt;&gt;"",'练习记录'!$P$129,"")</x:f>
      </x:c>
      <x:c r="H129" s="116" t="str">
        <x:f>IF('练习记录'!$Q$129&lt;&gt;"",'练习记录'!$Q$129,"")</x:f>
      </x:c>
      <x:c r="I129" s="115" t="n">
        <x:f>'练习记录'!$R$129</x:f>
        <x:v>0</x:v>
      </x:c>
      <x:c r="K129" s="115" t="str">
        <x:f>IF(OR(E129&lt;&gt;"",F129&lt;&gt;""),"剑雅"&amp;B129&amp;"-T"&amp;C129&amp;"-第"&amp;IF(D129="",1,D129)&amp;"次","")</x:f>
      </x:c>
      <x:c r="L129" s="116" t="str">
        <x:f>IF(E129&lt;&gt;"",E129,"")</x:f>
      </x:c>
      <x:c r="M129" s="116" t="str">
        <x:f>IF(F129&lt;&gt;"",F129,"")</x:f>
      </x:c>
      <x:c r="N129" s="116" t="str">
        <x:f>IF(G129&lt;&gt;"",G129,"")</x:f>
      </x:c>
    </x:row>
    <x:row r="130">
      <x:c r="A130" s="114" t="str">
        <x:f>IF(OR('练习记录'!$J$130&lt;&gt;"",'练习记录'!$O$130&lt;&gt;""),'练习记录'!$A$130,"")</x:f>
      </x:c>
      <x:c r="B130" s="132" t="str">
        <x:f>IF(OR('练习记录'!$J$130&lt;&gt;"",'练习记录'!$O$130&lt;&gt;""),IFERROR('练习记录'!$B$129,""),"")</x:f>
      </x:c>
      <x:c r="C130" s="132" t="str">
        <x:f>IF(OR('练习记录'!$J$130&lt;&gt;"",'练习记录'!$O$130&lt;&gt;""),'练习记录'!$C$130,"")</x:f>
      </x:c>
      <x:c r="D130" s="132" t="str">
        <x:f>IF(OR('练习记录'!$J$130&lt;&gt;"",'练习记录'!$O$130&lt;&gt;""),'练习记录'!$D$130,"")</x:f>
      </x:c>
      <x:c r="E130" s="116" t="str">
        <x:f>IF('练习记录'!$J$130&lt;&gt;"",'练习记录'!$J$130,"")</x:f>
      </x:c>
      <x:c r="F130" s="116" t="str">
        <x:f>IF('练习记录'!$O$130&lt;&gt;"",'练习记录'!$O$130,"")</x:f>
      </x:c>
      <x:c r="G130" s="116" t="str">
        <x:f>IF('练习记录'!$P$130&lt;&gt;"",'练习记录'!$P$130,"")</x:f>
      </x:c>
      <x:c r="H130" s="116" t="str">
        <x:f>IF('练习记录'!$Q$130&lt;&gt;"",'练习记录'!$Q$130,"")</x:f>
      </x:c>
      <x:c r="I130" s="115" t="n">
        <x:f>'练习记录'!$R$130</x:f>
        <x:v>0</x:v>
      </x:c>
      <x:c r="K130" s="115" t="str">
        <x:f>IF(OR(E130&lt;&gt;"",F130&lt;&gt;""),"剑雅"&amp;B130&amp;"-T"&amp;C130&amp;"-第"&amp;IF(D130="",1,D130)&amp;"次","")</x:f>
      </x:c>
      <x:c r="L130" s="116" t="str">
        <x:f>IF(E130&lt;&gt;"",E130,"")</x:f>
      </x:c>
      <x:c r="M130" s="116" t="str">
        <x:f>IF(F130&lt;&gt;"",F130,"")</x:f>
      </x:c>
      <x:c r="N130" s="116" t="str">
        <x:f>IF(G130&lt;&gt;"",G130,"")</x:f>
      </x:c>
    </x:row>
    <x:row r="131">
      <x:c r="A131" s="114" t="str">
        <x:f>IF(OR('练习记录'!$J$131&lt;&gt;"",'练习记录'!$O$131&lt;&gt;""),'练习记录'!$A$131,"")</x:f>
      </x:c>
      <x:c r="B131" s="132" t="str">
        <x:f>IF(OR('练习记录'!$J$131&lt;&gt;"",'练习记录'!$O$131&lt;&gt;""),IFERROR('练习记录'!$B$129,""),"")</x:f>
      </x:c>
      <x:c r="C131" s="132" t="str">
        <x:f>IF(OR('练习记录'!$J$131&lt;&gt;"",'练习记录'!$O$131&lt;&gt;""),'练习记录'!$C$131,"")</x:f>
      </x:c>
      <x:c r="D131" s="132" t="str">
        <x:f>IF(OR('练习记录'!$J$131&lt;&gt;"",'练习记录'!$O$131&lt;&gt;""),'练习记录'!$D$131,"")</x:f>
      </x:c>
      <x:c r="E131" s="116" t="str">
        <x:f>IF('练习记录'!$J$131&lt;&gt;"",'练习记录'!$J$131,"")</x:f>
      </x:c>
      <x:c r="F131" s="116" t="str">
        <x:f>IF('练习记录'!$O$131&lt;&gt;"",'练习记录'!$O$131,"")</x:f>
      </x:c>
      <x:c r="G131" s="116" t="str">
        <x:f>IF('练习记录'!$P$131&lt;&gt;"",'练习记录'!$P$131,"")</x:f>
      </x:c>
      <x:c r="H131" s="116" t="str">
        <x:f>IF('练习记录'!$Q$131&lt;&gt;"",'练习记录'!$Q$131,"")</x:f>
      </x:c>
      <x:c r="I131" s="115" t="n">
        <x:f>'练习记录'!$R$131</x:f>
        <x:v>0</x:v>
      </x:c>
      <x:c r="K131" s="115" t="str">
        <x:f>IF(OR(E131&lt;&gt;"",F131&lt;&gt;""),"剑雅"&amp;B131&amp;"-T"&amp;C131&amp;"-第"&amp;IF(D131="",1,D131)&amp;"次","")</x:f>
      </x:c>
      <x:c r="L131" s="116" t="str">
        <x:f>IF(E131&lt;&gt;"",E131,"")</x:f>
      </x:c>
      <x:c r="M131" s="116" t="str">
        <x:f>IF(F131&lt;&gt;"",F131,"")</x:f>
      </x:c>
      <x:c r="N131" s="116" t="str">
        <x:f>IF(G131&lt;&gt;"",G131,"")</x:f>
      </x:c>
    </x:row>
    <x:row r="132">
      <x:c r="A132" s="114" t="str">
        <x:f>IF(OR('练习记录'!$J$132&lt;&gt;"",'练习记录'!$O$132&lt;&gt;""),'练习记录'!$A$132,"")</x:f>
      </x:c>
      <x:c r="B132" s="132" t="str">
        <x:f>IF(OR('练习记录'!$J$132&lt;&gt;"",'练习记录'!$O$132&lt;&gt;""),IFERROR('练习记录'!$B$129,""),"")</x:f>
      </x:c>
      <x:c r="C132" s="132" t="str">
        <x:f>IF(OR('练习记录'!$J$132&lt;&gt;"",'练习记录'!$O$132&lt;&gt;""),'练习记录'!$C$132,"")</x:f>
      </x:c>
      <x:c r="D132" s="132" t="str">
        <x:f>IF(OR('练习记录'!$J$132&lt;&gt;"",'练习记录'!$O$132&lt;&gt;""),'练习记录'!$D$132,"")</x:f>
      </x:c>
      <x:c r="E132" s="116" t="str">
        <x:f>IF('练习记录'!$J$132&lt;&gt;"",'练习记录'!$J$132,"")</x:f>
      </x:c>
      <x:c r="F132" s="116" t="str">
        <x:f>IF('练习记录'!$O$132&lt;&gt;"",'练习记录'!$O$132,"")</x:f>
      </x:c>
      <x:c r="G132" s="116" t="str">
        <x:f>IF('练习记录'!$P$132&lt;&gt;"",'练习记录'!$P$132,"")</x:f>
      </x:c>
      <x:c r="H132" s="116" t="str">
        <x:f>IF('练习记录'!$Q$132&lt;&gt;"",'练习记录'!$Q$132,"")</x:f>
      </x:c>
      <x:c r="I132" s="115" t="n">
        <x:f>'练习记录'!$R$132</x:f>
        <x:v>0</x:v>
      </x:c>
      <x:c r="K132" s="115" t="str">
        <x:f>IF(OR(E132&lt;&gt;"",F132&lt;&gt;""),"剑雅"&amp;B132&amp;"-T"&amp;C132&amp;"-第"&amp;IF(D132="",1,D132)&amp;"次","")</x:f>
      </x:c>
      <x:c r="L132" s="116" t="str">
        <x:f>IF(E132&lt;&gt;"",E132,"")</x:f>
      </x:c>
      <x:c r="M132" s="116" t="str">
        <x:f>IF(F132&lt;&gt;"",F132,"")</x:f>
      </x:c>
      <x:c r="N132" s="116" t="str">
        <x:f>IF(G132&lt;&gt;"",G132,"")</x:f>
      </x:c>
    </x:row>
    <x:row r="133">
      <x:c r="A133" s="114" t="str">
        <x:f>IF(OR('练习记录'!$J$133&lt;&gt;"",'练习记录'!$O$133&lt;&gt;""),'练习记录'!$A$133,"")</x:f>
      </x:c>
      <x:c r="B133" s="132" t="str">
        <x:f>IF(OR('练习记录'!$J$133&lt;&gt;"",'练习记录'!$O$133&lt;&gt;""),IFERROR('练习记录'!$B$133,""),"")</x:f>
      </x:c>
      <x:c r="C133" s="132" t="str">
        <x:f>IF(OR('练习记录'!$J$133&lt;&gt;"",'练习记录'!$O$133&lt;&gt;""),'练习记录'!$C$133,"")</x:f>
      </x:c>
      <x:c r="D133" s="132" t="str">
        <x:f>IF(OR('练习记录'!$J$133&lt;&gt;"",'练习记录'!$O$133&lt;&gt;""),'练习记录'!$D$133,"")</x:f>
      </x:c>
      <x:c r="E133" s="116" t="str">
        <x:f>IF('练习记录'!$J$133&lt;&gt;"",'练习记录'!$J$133,"")</x:f>
      </x:c>
      <x:c r="F133" s="116" t="str">
        <x:f>IF('练习记录'!$O$133&lt;&gt;"",'练习记录'!$O$133,"")</x:f>
      </x:c>
      <x:c r="G133" s="116" t="str">
        <x:f>IF('练习记录'!$P$133&lt;&gt;"",'练习记录'!$P$133,"")</x:f>
      </x:c>
      <x:c r="H133" s="116" t="str">
        <x:f>IF('练习记录'!$Q$133&lt;&gt;"",'练习记录'!$Q$133,"")</x:f>
      </x:c>
      <x:c r="I133" s="115" t="n">
        <x:f>'练习记录'!$R$133</x:f>
        <x:v>0</x:v>
      </x:c>
      <x:c r="K133" s="115" t="str">
        <x:f>IF(OR(E133&lt;&gt;"",F133&lt;&gt;""),"剑雅"&amp;B133&amp;"-T"&amp;C133&amp;"-第"&amp;IF(D133="",1,D133)&amp;"次","")</x:f>
      </x:c>
      <x:c r="L133" s="116" t="str">
        <x:f>IF(E133&lt;&gt;"",E133,"")</x:f>
      </x:c>
      <x:c r="M133" s="116" t="str">
        <x:f>IF(F133&lt;&gt;"",F133,"")</x:f>
      </x:c>
      <x:c r="N133" s="116" t="str">
        <x:f>IF(G133&lt;&gt;"",G133,"")</x:f>
      </x:c>
    </x:row>
    <x:row r="134">
      <x:c r="A134" s="114" t="str">
        <x:f>IF(OR('练习记录'!$J$134&lt;&gt;"",'练习记录'!$O$134&lt;&gt;""),'练习记录'!$A$134,"")</x:f>
      </x:c>
      <x:c r="B134" s="132" t="str">
        <x:f>IF(OR('练习记录'!$J$134&lt;&gt;"",'练习记录'!$O$134&lt;&gt;""),IFERROR('练习记录'!$B$133,""),"")</x:f>
      </x:c>
      <x:c r="C134" s="132" t="str">
        <x:f>IF(OR('练习记录'!$J$134&lt;&gt;"",'练习记录'!$O$134&lt;&gt;""),'练习记录'!$C$134,"")</x:f>
      </x:c>
      <x:c r="D134" s="132" t="str">
        <x:f>IF(OR('练习记录'!$J$134&lt;&gt;"",'练习记录'!$O$134&lt;&gt;""),'练习记录'!$D$134,"")</x:f>
      </x:c>
      <x:c r="E134" s="116" t="str">
        <x:f>IF('练习记录'!$J$134&lt;&gt;"",'练习记录'!$J$134,"")</x:f>
      </x:c>
      <x:c r="F134" s="116" t="str">
        <x:f>IF('练习记录'!$O$134&lt;&gt;"",'练习记录'!$O$134,"")</x:f>
      </x:c>
      <x:c r="G134" s="116" t="str">
        <x:f>IF('练习记录'!$P$134&lt;&gt;"",'练习记录'!$P$134,"")</x:f>
      </x:c>
      <x:c r="H134" s="116" t="str">
        <x:f>IF('练习记录'!$Q$134&lt;&gt;"",'练习记录'!$Q$134,"")</x:f>
      </x:c>
      <x:c r="I134" s="115" t="n">
        <x:f>'练习记录'!$R$134</x:f>
        <x:v>0</x:v>
      </x:c>
      <x:c r="K134" s="115" t="str">
        <x:f>IF(OR(E134&lt;&gt;"",F134&lt;&gt;""),"剑雅"&amp;B134&amp;"-T"&amp;C134&amp;"-第"&amp;IF(D134="",1,D134)&amp;"次","")</x:f>
      </x:c>
      <x:c r="L134" s="116" t="str">
        <x:f>IF(E134&lt;&gt;"",E134,"")</x:f>
      </x:c>
      <x:c r="M134" s="116" t="str">
        <x:f>IF(F134&lt;&gt;"",F134,"")</x:f>
      </x:c>
      <x:c r="N134" s="116" t="str">
        <x:f>IF(G134&lt;&gt;"",G134,"")</x:f>
      </x:c>
    </x:row>
    <x:row r="135">
      <x:c r="A135" s="114" t="str">
        <x:f>IF(OR('练习记录'!$J$135&lt;&gt;"",'练习记录'!$O$135&lt;&gt;""),'练习记录'!$A$135,"")</x:f>
      </x:c>
      <x:c r="B135" s="132" t="str">
        <x:f>IF(OR('练习记录'!$J$135&lt;&gt;"",'练习记录'!$O$135&lt;&gt;""),IFERROR('练习记录'!$B$133,""),"")</x:f>
      </x:c>
      <x:c r="C135" s="132" t="str">
        <x:f>IF(OR('练习记录'!$J$135&lt;&gt;"",'练习记录'!$O$135&lt;&gt;""),'练习记录'!$C$135,"")</x:f>
      </x:c>
      <x:c r="D135" s="132" t="str">
        <x:f>IF(OR('练习记录'!$J$135&lt;&gt;"",'练习记录'!$O$135&lt;&gt;""),'练习记录'!$D$135,"")</x:f>
      </x:c>
      <x:c r="E135" s="116" t="str">
        <x:f>IF('练习记录'!$J$135&lt;&gt;"",'练习记录'!$J$135,"")</x:f>
      </x:c>
      <x:c r="F135" s="116" t="str">
        <x:f>IF('练习记录'!$O$135&lt;&gt;"",'练习记录'!$O$135,"")</x:f>
      </x:c>
      <x:c r="G135" s="116" t="str">
        <x:f>IF('练习记录'!$P$135&lt;&gt;"",'练习记录'!$P$135,"")</x:f>
      </x:c>
      <x:c r="H135" s="116" t="str">
        <x:f>IF('练习记录'!$Q$135&lt;&gt;"",'练习记录'!$Q$135,"")</x:f>
      </x:c>
      <x:c r="I135" s="115" t="n">
        <x:f>'练习记录'!$R$135</x:f>
        <x:v>0</x:v>
      </x:c>
      <x:c r="K135" s="115" t="str">
        <x:f>IF(OR(E135&lt;&gt;"",F135&lt;&gt;""),"剑雅"&amp;B135&amp;"-T"&amp;C135&amp;"-第"&amp;IF(D135="",1,D135)&amp;"次","")</x:f>
      </x:c>
      <x:c r="L135" s="116" t="str">
        <x:f>IF(E135&lt;&gt;"",E135,"")</x:f>
      </x:c>
      <x:c r="M135" s="116" t="str">
        <x:f>IF(F135&lt;&gt;"",F135,"")</x:f>
      </x:c>
      <x:c r="N135" s="116" t="str">
        <x:f>IF(G135&lt;&gt;"",G135,"")</x:f>
      </x:c>
    </x:row>
    <x:row r="136">
      <x:c r="A136" s="114" t="str">
        <x:f>IF(OR('练习记录'!$J$136&lt;&gt;"",'练习记录'!$O$136&lt;&gt;""),'练习记录'!$A$136,"")</x:f>
      </x:c>
      <x:c r="B136" s="132" t="str">
        <x:f>IF(OR('练习记录'!$J$136&lt;&gt;"",'练习记录'!$O$136&lt;&gt;""),IFERROR('练习记录'!$B$133,""),"")</x:f>
      </x:c>
      <x:c r="C136" s="132" t="str">
        <x:f>IF(OR('练习记录'!$J$136&lt;&gt;"",'练习记录'!$O$136&lt;&gt;""),'练习记录'!$C$136,"")</x:f>
      </x:c>
      <x:c r="D136" s="132" t="str">
        <x:f>IF(OR('练习记录'!$J$136&lt;&gt;"",'练习记录'!$O$136&lt;&gt;""),'练习记录'!$D$136,"")</x:f>
      </x:c>
      <x:c r="E136" s="116" t="str">
        <x:f>IF('练习记录'!$J$136&lt;&gt;"",'练习记录'!$J$136,"")</x:f>
      </x:c>
      <x:c r="F136" s="116" t="str">
        <x:f>IF('练习记录'!$O$136&lt;&gt;"",'练习记录'!$O$136,"")</x:f>
      </x:c>
      <x:c r="G136" s="116" t="str">
        <x:f>IF('练习记录'!$P$136&lt;&gt;"",'练习记录'!$P$136,"")</x:f>
      </x:c>
      <x:c r="H136" s="116" t="str">
        <x:f>IF('练习记录'!$Q$136&lt;&gt;"",'练习记录'!$Q$136,"")</x:f>
      </x:c>
      <x:c r="I136" s="115" t="n">
        <x:f>'练习记录'!$R$136</x:f>
        <x:v>0</x:v>
      </x:c>
      <x:c r="K136" s="115" t="str">
        <x:f>IF(OR(E136&lt;&gt;"",F136&lt;&gt;""),"剑雅"&amp;B136&amp;"-T"&amp;C136&amp;"-第"&amp;IF(D136="",1,D136)&amp;"次","")</x:f>
      </x:c>
      <x:c r="L136" s="116" t="str">
        <x:f>IF(E136&lt;&gt;"",E136,"")</x:f>
      </x:c>
      <x:c r="M136" s="116" t="str">
        <x:f>IF(F136&lt;&gt;"",F136,"")</x:f>
      </x:c>
      <x:c r="N136" s="116" t="str">
        <x:f>IF(G136&lt;&gt;"",G136,"")</x:f>
      </x:c>
    </x:row>
    <x:row r="137">
      <x:c r="A137" s="114" t="str">
        <x:f>IF(OR('练习记录'!$J$137&lt;&gt;"",'练习记录'!$O$137&lt;&gt;""),'练习记录'!$A$137,"")</x:f>
      </x:c>
      <x:c r="B137" s="132" t="str">
        <x:f>IF(OR('练习记录'!$J$137&lt;&gt;"",'练习记录'!$O$137&lt;&gt;""),IFERROR('练习记录'!$B$137,""),"")</x:f>
      </x:c>
      <x:c r="C137" s="132" t="str">
        <x:f>IF(OR('练习记录'!$J$137&lt;&gt;"",'练习记录'!$O$137&lt;&gt;""),'练习记录'!$C$137,"")</x:f>
      </x:c>
      <x:c r="D137" s="132" t="str">
        <x:f>IF(OR('练习记录'!$J$137&lt;&gt;"",'练习记录'!$O$137&lt;&gt;""),'练习记录'!$D$137,"")</x:f>
      </x:c>
      <x:c r="E137" s="116" t="str">
        <x:f>IF('练习记录'!$J$137&lt;&gt;"",'练习记录'!$J$137,"")</x:f>
      </x:c>
      <x:c r="F137" s="116" t="str">
        <x:f>IF('练习记录'!$O$137&lt;&gt;"",'练习记录'!$O$137,"")</x:f>
      </x:c>
      <x:c r="G137" s="116" t="str">
        <x:f>IF('练习记录'!$P$137&lt;&gt;"",'练习记录'!$P$137,"")</x:f>
      </x:c>
      <x:c r="H137" s="116" t="str">
        <x:f>IF('练习记录'!$Q$137&lt;&gt;"",'练习记录'!$Q$137,"")</x:f>
      </x:c>
      <x:c r="I137" s="115" t="n">
        <x:f>'练习记录'!$R$137</x:f>
        <x:v>0</x:v>
      </x:c>
      <x:c r="K137" s="115" t="str">
        <x:f>IF(OR(E137&lt;&gt;"",F137&lt;&gt;""),"剑雅"&amp;B137&amp;"-T"&amp;C137&amp;"-第"&amp;IF(D137="",1,D137)&amp;"次","")</x:f>
      </x:c>
      <x:c r="L137" s="116" t="str">
        <x:f>IF(E137&lt;&gt;"",E137,"")</x:f>
      </x:c>
      <x:c r="M137" s="116" t="str">
        <x:f>IF(F137&lt;&gt;"",F137,"")</x:f>
      </x:c>
      <x:c r="N137" s="116" t="str">
        <x:f>IF(G137&lt;&gt;"",G137,"")</x:f>
      </x:c>
    </x:row>
    <x:row r="138">
      <x:c r="A138" s="114" t="str">
        <x:f>IF(OR('练习记录'!$J$138&lt;&gt;"",'练习记录'!$O$138&lt;&gt;""),'练习记录'!$A$138,"")</x:f>
      </x:c>
      <x:c r="B138" s="132" t="str">
        <x:f>IF(OR('练习记录'!$J$138&lt;&gt;"",'练习记录'!$O$138&lt;&gt;""),IFERROR('练习记录'!$B$137,""),"")</x:f>
      </x:c>
      <x:c r="C138" s="132" t="str">
        <x:f>IF(OR('练习记录'!$J$138&lt;&gt;"",'练习记录'!$O$138&lt;&gt;""),'练习记录'!$C$138,"")</x:f>
      </x:c>
      <x:c r="D138" s="132" t="str">
        <x:f>IF(OR('练习记录'!$J$138&lt;&gt;"",'练习记录'!$O$138&lt;&gt;""),'练习记录'!$D$138,"")</x:f>
      </x:c>
      <x:c r="E138" s="116" t="str">
        <x:f>IF('练习记录'!$J$138&lt;&gt;"",'练习记录'!$J$138,"")</x:f>
      </x:c>
      <x:c r="F138" s="116" t="str">
        <x:f>IF('练习记录'!$O$138&lt;&gt;"",'练习记录'!$O$138,"")</x:f>
      </x:c>
      <x:c r="G138" s="116" t="str">
        <x:f>IF('练习记录'!$P$138&lt;&gt;"",'练习记录'!$P$138,"")</x:f>
      </x:c>
      <x:c r="H138" s="116" t="str">
        <x:f>IF('练习记录'!$Q$138&lt;&gt;"",'练习记录'!$Q$138,"")</x:f>
      </x:c>
      <x:c r="I138" s="115" t="n">
        <x:f>'练习记录'!$R$138</x:f>
        <x:v>0</x:v>
      </x:c>
      <x:c r="K138" s="115" t="str">
        <x:f>IF(OR(E138&lt;&gt;"",F138&lt;&gt;""),"剑雅"&amp;B138&amp;"-T"&amp;C138&amp;"-第"&amp;IF(D138="",1,D138)&amp;"次","")</x:f>
      </x:c>
      <x:c r="L138" s="116" t="str">
        <x:f>IF(E138&lt;&gt;"",E138,"")</x:f>
      </x:c>
      <x:c r="M138" s="116" t="str">
        <x:f>IF(F138&lt;&gt;"",F138,"")</x:f>
      </x:c>
      <x:c r="N138" s="116" t="str">
        <x:f>IF(G138&lt;&gt;"",G138,"")</x:f>
      </x:c>
    </x:row>
    <x:row r="139">
      <x:c r="A139" s="114" t="str">
        <x:f>IF(OR('练习记录'!$J$139&lt;&gt;"",'练习记录'!$O$139&lt;&gt;""),'练习记录'!$A$139,"")</x:f>
      </x:c>
      <x:c r="B139" s="132" t="str">
        <x:f>IF(OR('练习记录'!$J$139&lt;&gt;"",'练习记录'!$O$139&lt;&gt;""),IFERROR('练习记录'!$B$137,""),"")</x:f>
      </x:c>
      <x:c r="C139" s="132" t="str">
        <x:f>IF(OR('练习记录'!$J$139&lt;&gt;"",'练习记录'!$O$139&lt;&gt;""),'练习记录'!$C$139,"")</x:f>
      </x:c>
      <x:c r="D139" s="132" t="str">
        <x:f>IF(OR('练习记录'!$J$139&lt;&gt;"",'练习记录'!$O$139&lt;&gt;""),'练习记录'!$D$139,"")</x:f>
      </x:c>
      <x:c r="E139" s="116" t="str">
        <x:f>IF('练习记录'!$J$139&lt;&gt;"",'练习记录'!$J$139,"")</x:f>
      </x:c>
      <x:c r="F139" s="116" t="str">
        <x:f>IF('练习记录'!$O$139&lt;&gt;"",'练习记录'!$O$139,"")</x:f>
      </x:c>
      <x:c r="G139" s="116" t="str">
        <x:f>IF('练习记录'!$P$139&lt;&gt;"",'练习记录'!$P$139,"")</x:f>
      </x:c>
      <x:c r="H139" s="116" t="str">
        <x:f>IF('练习记录'!$Q$139&lt;&gt;"",'练习记录'!$Q$139,"")</x:f>
      </x:c>
      <x:c r="I139" s="115" t="n">
        <x:f>'练习记录'!$R$139</x:f>
        <x:v>0</x:v>
      </x:c>
      <x:c r="K139" s="115" t="str">
        <x:f>IF(OR(E139&lt;&gt;"",F139&lt;&gt;""),"剑雅"&amp;B139&amp;"-T"&amp;C139&amp;"-第"&amp;IF(D139="",1,D139)&amp;"次","")</x:f>
      </x:c>
      <x:c r="L139" s="116" t="str">
        <x:f>IF(E139&lt;&gt;"",E139,"")</x:f>
      </x:c>
      <x:c r="M139" s="116" t="str">
        <x:f>IF(F139&lt;&gt;"",F139,"")</x:f>
      </x:c>
      <x:c r="N139" s="116" t="str">
        <x:f>IF(G139&lt;&gt;"",G139,"")</x:f>
      </x:c>
    </x:row>
    <x:row r="140">
      <x:c r="A140" s="114" t="str">
        <x:f>IF(OR('练习记录'!$J$140&lt;&gt;"",'练习记录'!$O$140&lt;&gt;""),'练习记录'!$A$140,"")</x:f>
      </x:c>
      <x:c r="B140" s="132" t="str">
        <x:f>IF(OR('练习记录'!$J$140&lt;&gt;"",'练习记录'!$O$140&lt;&gt;""),IFERROR('练习记录'!$B$137,""),"")</x:f>
      </x:c>
      <x:c r="C140" s="132" t="str">
        <x:f>IF(OR('练习记录'!$J$140&lt;&gt;"",'练习记录'!$O$140&lt;&gt;""),'练习记录'!$C$140,"")</x:f>
      </x:c>
      <x:c r="D140" s="132" t="str">
        <x:f>IF(OR('练习记录'!$J$140&lt;&gt;"",'练习记录'!$O$140&lt;&gt;""),'练习记录'!$D$140,"")</x:f>
      </x:c>
      <x:c r="E140" s="116" t="str">
        <x:f>IF('练习记录'!$J$140&lt;&gt;"",'练习记录'!$J$140,"")</x:f>
      </x:c>
      <x:c r="F140" s="116" t="str">
        <x:f>IF('练习记录'!$O$140&lt;&gt;"",'练习记录'!$O$140,"")</x:f>
      </x:c>
      <x:c r="G140" s="116" t="str">
        <x:f>IF('练习记录'!$P$140&lt;&gt;"",'练习记录'!$P$140,"")</x:f>
      </x:c>
      <x:c r="H140" s="116" t="str">
        <x:f>IF('练习记录'!$Q$140&lt;&gt;"",'练习记录'!$Q$140,"")</x:f>
      </x:c>
      <x:c r="I140" s="115" t="n">
        <x:f>'练习记录'!$R$140</x:f>
        <x:v>0</x:v>
      </x:c>
      <x:c r="K140" s="115" t="str">
        <x:f>IF(OR(E140&lt;&gt;"",F140&lt;&gt;""),"剑雅"&amp;B140&amp;"-T"&amp;C140&amp;"-第"&amp;IF(D140="",1,D140)&amp;"次","")</x:f>
      </x:c>
      <x:c r="L140" s="116" t="str">
        <x:f>IF(E140&lt;&gt;"",E140,"")</x:f>
      </x:c>
      <x:c r="M140" s="116" t="str">
        <x:f>IF(F140&lt;&gt;"",F140,"")</x:f>
      </x:c>
      <x:c r="N140" s="116" t="str">
        <x:f>IF(G140&lt;&gt;"",G140,"")</x:f>
      </x:c>
    </x:row>
    <x:row r="141">
      <x:c r="A141" s="114" t="str">
        <x:f>IF(OR('练习记录'!$J$141&lt;&gt;"",'练习记录'!$O$141&lt;&gt;""),'练习记录'!$A$141,"")</x:f>
      </x:c>
      <x:c r="B141" s="132" t="str">
        <x:f>IF(OR('练习记录'!$J$141&lt;&gt;"",'练习记录'!$O$141&lt;&gt;""),IFERROR('练习记录'!$B$141,""),"")</x:f>
      </x:c>
      <x:c r="C141" s="132" t="str">
        <x:f>IF(OR('练习记录'!$J$141&lt;&gt;"",'练习记录'!$O$141&lt;&gt;""),'练习记录'!$C$141,"")</x:f>
      </x:c>
      <x:c r="D141" s="132" t="str">
        <x:f>IF(OR('练习记录'!$J$141&lt;&gt;"",'练习记录'!$O$141&lt;&gt;""),'练习记录'!$D$141,"")</x:f>
      </x:c>
      <x:c r="E141" s="116" t="str">
        <x:f>IF('练习记录'!$J$141&lt;&gt;"",'练习记录'!$J$141,"")</x:f>
      </x:c>
      <x:c r="F141" s="116" t="str">
        <x:f>IF('练习记录'!$O$141&lt;&gt;"",'练习记录'!$O$141,"")</x:f>
      </x:c>
      <x:c r="G141" s="116" t="str">
        <x:f>IF('练习记录'!$P$141&lt;&gt;"",'练习记录'!$P$141,"")</x:f>
      </x:c>
      <x:c r="H141" s="116" t="str">
        <x:f>IF('练习记录'!$Q$141&lt;&gt;"",'练习记录'!$Q$141,"")</x:f>
      </x:c>
      <x:c r="I141" s="115" t="n">
        <x:f>'练习记录'!$R$141</x:f>
        <x:v>0</x:v>
      </x:c>
      <x:c r="K141" s="115" t="str">
        <x:f>IF(OR(E141&lt;&gt;"",F141&lt;&gt;""),"剑雅"&amp;B141&amp;"-T"&amp;C141&amp;"-第"&amp;IF(D141="",1,D141)&amp;"次","")</x:f>
      </x:c>
      <x:c r="L141" s="116" t="str">
        <x:f>IF(E141&lt;&gt;"",E141,"")</x:f>
      </x:c>
      <x:c r="M141" s="116" t="str">
        <x:f>IF(F141&lt;&gt;"",F141,"")</x:f>
      </x:c>
      <x:c r="N141" s="116" t="str">
        <x:f>IF(G141&lt;&gt;"",G141,"")</x:f>
      </x:c>
    </x:row>
    <x:row r="142">
      <x:c r="A142" s="114" t="str">
        <x:f>IF(OR('练习记录'!$J$142&lt;&gt;"",'练习记录'!$O$142&lt;&gt;""),'练习记录'!$A$142,"")</x:f>
      </x:c>
      <x:c r="B142" s="132" t="str">
        <x:f>IF(OR('练习记录'!$J$142&lt;&gt;"",'练习记录'!$O$142&lt;&gt;""),IFERROR('练习记录'!$B$141,""),"")</x:f>
      </x:c>
      <x:c r="C142" s="132" t="str">
        <x:f>IF(OR('练习记录'!$J$142&lt;&gt;"",'练习记录'!$O$142&lt;&gt;""),'练习记录'!$C$142,"")</x:f>
      </x:c>
      <x:c r="D142" s="132" t="str">
        <x:f>IF(OR('练习记录'!$J$142&lt;&gt;"",'练习记录'!$O$142&lt;&gt;""),'练习记录'!$D$142,"")</x:f>
      </x:c>
      <x:c r="E142" s="116" t="str">
        <x:f>IF('练习记录'!$J$142&lt;&gt;"",'练习记录'!$J$142,"")</x:f>
      </x:c>
      <x:c r="F142" s="116" t="str">
        <x:f>IF('练习记录'!$O$142&lt;&gt;"",'练习记录'!$O$142,"")</x:f>
      </x:c>
      <x:c r="G142" s="116" t="str">
        <x:f>IF('练习记录'!$P$142&lt;&gt;"",'练习记录'!$P$142,"")</x:f>
      </x:c>
      <x:c r="H142" s="116" t="str">
        <x:f>IF('练习记录'!$Q$142&lt;&gt;"",'练习记录'!$Q$142,"")</x:f>
      </x:c>
      <x:c r="I142" s="115" t="n">
        <x:f>'练习记录'!$R$142</x:f>
        <x:v>0</x:v>
      </x:c>
      <x:c r="K142" s="115" t="str">
        <x:f>IF(OR(E142&lt;&gt;"",F142&lt;&gt;""),"剑雅"&amp;B142&amp;"-T"&amp;C142&amp;"-第"&amp;IF(D142="",1,D142)&amp;"次","")</x:f>
      </x:c>
      <x:c r="L142" s="116" t="str">
        <x:f>IF(E142&lt;&gt;"",E142,"")</x:f>
      </x:c>
      <x:c r="M142" s="116" t="str">
        <x:f>IF(F142&lt;&gt;"",F142,"")</x:f>
      </x:c>
      <x:c r="N142" s="116" t="str">
        <x:f>IF(G142&lt;&gt;"",G142,"")</x:f>
      </x:c>
    </x:row>
    <x:row r="143">
      <x:c r="A143" s="114" t="str">
        <x:f>IF(OR('练习记录'!$J$143&lt;&gt;"",'练习记录'!$O$143&lt;&gt;""),'练习记录'!$A$143,"")</x:f>
      </x:c>
      <x:c r="B143" s="132" t="str">
        <x:f>IF(OR('练习记录'!$J$143&lt;&gt;"",'练习记录'!$O$143&lt;&gt;""),IFERROR('练习记录'!$B$141,""),"")</x:f>
      </x:c>
      <x:c r="C143" s="132" t="str">
        <x:f>IF(OR('练习记录'!$J$143&lt;&gt;"",'练习记录'!$O$143&lt;&gt;""),'练习记录'!$C$143,"")</x:f>
      </x:c>
      <x:c r="D143" s="132" t="str">
        <x:f>IF(OR('练习记录'!$J$143&lt;&gt;"",'练习记录'!$O$143&lt;&gt;""),'练习记录'!$D$143,"")</x:f>
      </x:c>
      <x:c r="E143" s="116" t="str">
        <x:f>IF('练习记录'!$J$143&lt;&gt;"",'练习记录'!$J$143,"")</x:f>
      </x:c>
      <x:c r="F143" s="116" t="str">
        <x:f>IF('练习记录'!$O$143&lt;&gt;"",'练习记录'!$O$143,"")</x:f>
      </x:c>
      <x:c r="G143" s="116" t="str">
        <x:f>IF('练习记录'!$P$143&lt;&gt;"",'练习记录'!$P$143,"")</x:f>
      </x:c>
      <x:c r="H143" s="116" t="str">
        <x:f>IF('练习记录'!$Q$143&lt;&gt;"",'练习记录'!$Q$143,"")</x:f>
      </x:c>
      <x:c r="I143" s="115" t="n">
        <x:f>'练习记录'!$R$143</x:f>
        <x:v>0</x:v>
      </x:c>
      <x:c r="K143" s="115" t="str">
        <x:f>IF(OR(E143&lt;&gt;"",F143&lt;&gt;""),"剑雅"&amp;B143&amp;"-T"&amp;C143&amp;"-第"&amp;IF(D143="",1,D143)&amp;"次","")</x:f>
      </x:c>
      <x:c r="L143" s="116" t="str">
        <x:f>IF(E143&lt;&gt;"",E143,"")</x:f>
      </x:c>
      <x:c r="M143" s="116" t="str">
        <x:f>IF(F143&lt;&gt;"",F143,"")</x:f>
      </x:c>
      <x:c r="N143" s="116" t="str">
        <x:f>IF(G143&lt;&gt;"",G143,"")</x:f>
      </x:c>
    </x:row>
    <x:row r="144">
      <x:c r="A144" s="114" t="str">
        <x:f>IF(OR('练习记录'!$J$144&lt;&gt;"",'练习记录'!$O$144&lt;&gt;""),'练习记录'!$A$144,"")</x:f>
      </x:c>
      <x:c r="B144" s="132" t="str">
        <x:f>IF(OR('练习记录'!$J$144&lt;&gt;"",'练习记录'!$O$144&lt;&gt;""),IFERROR('练习记录'!$B$141,""),"")</x:f>
      </x:c>
      <x:c r="C144" s="132" t="str">
        <x:f>IF(OR('练习记录'!$J$144&lt;&gt;"",'练习记录'!$O$144&lt;&gt;""),'练习记录'!$C$144,"")</x:f>
      </x:c>
      <x:c r="D144" s="132" t="str">
        <x:f>IF(OR('练习记录'!$J$144&lt;&gt;"",'练习记录'!$O$144&lt;&gt;""),'练习记录'!$D$144,"")</x:f>
      </x:c>
      <x:c r="E144" s="116" t="str">
        <x:f>IF('练习记录'!$J$144&lt;&gt;"",'练习记录'!$J$144,"")</x:f>
      </x:c>
      <x:c r="F144" s="116" t="str">
        <x:f>IF('练习记录'!$O$144&lt;&gt;"",'练习记录'!$O$144,"")</x:f>
      </x:c>
      <x:c r="G144" s="116" t="str">
        <x:f>IF('练习记录'!$P$144&lt;&gt;"",'练习记录'!$P$144,"")</x:f>
      </x:c>
      <x:c r="H144" s="116" t="str">
        <x:f>IF('练习记录'!$Q$144&lt;&gt;"",'练习记录'!$Q$144,"")</x:f>
      </x:c>
      <x:c r="I144" s="115" t="n">
        <x:f>'练习记录'!$R$144</x:f>
        <x:v>0</x:v>
      </x:c>
      <x:c r="K144" s="115" t="str">
        <x:f>IF(OR(E144&lt;&gt;"",F144&lt;&gt;""),"剑雅"&amp;B144&amp;"-T"&amp;C144&amp;"-第"&amp;IF(D144="",1,D144)&amp;"次","")</x:f>
      </x:c>
      <x:c r="L144" s="116" t="str">
        <x:f>IF(E144&lt;&gt;"",E144,"")</x:f>
      </x:c>
      <x:c r="M144" s="116" t="str">
        <x:f>IF(F144&lt;&gt;"",F144,"")</x:f>
      </x:c>
      <x:c r="N144" s="116" t="str">
        <x:f>IF(G144&lt;&gt;"",G144,"")</x:f>
      </x:c>
    </x:row>
    <x:row r="145">
      <x:c r="A145" s="114" t="str">
        <x:f>IF(OR('练习记录'!$J$145&lt;&gt;"",'练习记录'!$O$145&lt;&gt;""),'练习记录'!$A$145,"")</x:f>
      </x:c>
      <x:c r="B145" s="132" t="str">
        <x:f>IF(OR('练习记录'!$J$145&lt;&gt;"",'练习记录'!$O$145&lt;&gt;""),IFERROR('练习记录'!$B$145,""),"")</x:f>
      </x:c>
      <x:c r="C145" s="132" t="str">
        <x:f>IF(OR('练习记录'!$J$145&lt;&gt;"",'练习记录'!$O$145&lt;&gt;""),'练习记录'!$C$145,"")</x:f>
      </x:c>
      <x:c r="D145" s="132" t="str">
        <x:f>IF(OR('练习记录'!$J$145&lt;&gt;"",'练习记录'!$O$145&lt;&gt;""),'练习记录'!$D$145,"")</x:f>
      </x:c>
      <x:c r="E145" s="116" t="str">
        <x:f>IF('练习记录'!$J$145&lt;&gt;"",'练习记录'!$J$145,"")</x:f>
      </x:c>
      <x:c r="F145" s="116" t="str">
        <x:f>IF('练习记录'!$O$145&lt;&gt;"",'练习记录'!$O$145,"")</x:f>
      </x:c>
      <x:c r="G145" s="116" t="str">
        <x:f>IF('练习记录'!$P$145&lt;&gt;"",'练习记录'!$P$145,"")</x:f>
      </x:c>
      <x:c r="H145" s="116" t="str">
        <x:f>IF('练习记录'!$Q$145&lt;&gt;"",'练习记录'!$Q$145,"")</x:f>
      </x:c>
      <x:c r="I145" s="115" t="n">
        <x:f>'练习记录'!$R$145</x:f>
        <x:v>0</x:v>
      </x:c>
      <x:c r="K145" s="115" t="str">
        <x:f>IF(OR(E145&lt;&gt;"",F145&lt;&gt;""),"剑雅"&amp;B145&amp;"-T"&amp;C145&amp;"-第"&amp;IF(D145="",1,D145)&amp;"次","")</x:f>
      </x:c>
      <x:c r="L145" s="116" t="str">
        <x:f>IF(E145&lt;&gt;"",E145,"")</x:f>
      </x:c>
      <x:c r="M145" s="116" t="str">
        <x:f>IF(F145&lt;&gt;"",F145,"")</x:f>
      </x:c>
      <x:c r="N145" s="116" t="str">
        <x:f>IF(G145&lt;&gt;"",G145,"")</x:f>
      </x:c>
    </x:row>
    <x:row r="146">
      <x:c r="A146" s="114" t="str">
        <x:f>IF(OR('练习记录'!$J$146&lt;&gt;"",'练习记录'!$O$146&lt;&gt;""),'练习记录'!$A$146,"")</x:f>
      </x:c>
      <x:c r="B146" s="132" t="str">
        <x:f>IF(OR('练习记录'!$J$146&lt;&gt;"",'练习记录'!$O$146&lt;&gt;""),IFERROR('练习记录'!$B$145,""),"")</x:f>
      </x:c>
      <x:c r="C146" s="132" t="str">
        <x:f>IF(OR('练习记录'!$J$146&lt;&gt;"",'练习记录'!$O$146&lt;&gt;""),'练习记录'!$C$146,"")</x:f>
      </x:c>
      <x:c r="D146" s="132" t="str">
        <x:f>IF(OR('练习记录'!$J$146&lt;&gt;"",'练习记录'!$O$146&lt;&gt;""),'练习记录'!$D$146,"")</x:f>
      </x:c>
      <x:c r="E146" s="116" t="str">
        <x:f>IF('练习记录'!$J$146&lt;&gt;"",'练习记录'!$J$146,"")</x:f>
      </x:c>
      <x:c r="F146" s="116" t="str">
        <x:f>IF('练习记录'!$O$146&lt;&gt;"",'练习记录'!$O$146,"")</x:f>
      </x:c>
      <x:c r="G146" s="116" t="str">
        <x:f>IF('练习记录'!$P$146&lt;&gt;"",'练习记录'!$P$146,"")</x:f>
      </x:c>
      <x:c r="H146" s="116" t="str">
        <x:f>IF('练习记录'!$Q$146&lt;&gt;"",'练习记录'!$Q$146,"")</x:f>
      </x:c>
      <x:c r="I146" s="115" t="n">
        <x:f>'练习记录'!$R$146</x:f>
        <x:v>0</x:v>
      </x:c>
      <x:c r="K146" s="115" t="str">
        <x:f>IF(OR(E146&lt;&gt;"",F146&lt;&gt;""),"剑雅"&amp;B146&amp;"-T"&amp;C146&amp;"-第"&amp;IF(D146="",1,D146)&amp;"次","")</x:f>
      </x:c>
      <x:c r="L146" s="116" t="str">
        <x:f>IF(E146&lt;&gt;"",E146,"")</x:f>
      </x:c>
      <x:c r="M146" s="116" t="str">
        <x:f>IF(F146&lt;&gt;"",F146,"")</x:f>
      </x:c>
      <x:c r="N146" s="116" t="str">
        <x:f>IF(G146&lt;&gt;"",G146,"")</x:f>
      </x:c>
    </x:row>
    <x:row r="147">
      <x:c r="A147" s="114" t="str">
        <x:f>IF(OR('练习记录'!$J$147&lt;&gt;"",'练习记录'!$O$147&lt;&gt;""),'练习记录'!$A$147,"")</x:f>
      </x:c>
      <x:c r="B147" s="132" t="str">
        <x:f>IF(OR('练习记录'!$J$147&lt;&gt;"",'练习记录'!$O$147&lt;&gt;""),IFERROR('练习记录'!$B$145,""),"")</x:f>
      </x:c>
      <x:c r="C147" s="132" t="str">
        <x:f>IF(OR('练习记录'!$J$147&lt;&gt;"",'练习记录'!$O$147&lt;&gt;""),'练习记录'!$C$147,"")</x:f>
      </x:c>
      <x:c r="D147" s="132" t="str">
        <x:f>IF(OR('练习记录'!$J$147&lt;&gt;"",'练习记录'!$O$147&lt;&gt;""),'练习记录'!$D$147,"")</x:f>
      </x:c>
      <x:c r="E147" s="116" t="str">
        <x:f>IF('练习记录'!$J$147&lt;&gt;"",'练习记录'!$J$147,"")</x:f>
      </x:c>
      <x:c r="F147" s="116" t="str">
        <x:f>IF('练习记录'!$O$147&lt;&gt;"",'练习记录'!$O$147,"")</x:f>
      </x:c>
      <x:c r="G147" s="116" t="str">
        <x:f>IF('练习记录'!$P$147&lt;&gt;"",'练习记录'!$P$147,"")</x:f>
      </x:c>
      <x:c r="H147" s="116" t="str">
        <x:f>IF('练习记录'!$Q$147&lt;&gt;"",'练习记录'!$Q$147,"")</x:f>
      </x:c>
      <x:c r="I147" s="115" t="n">
        <x:f>'练习记录'!$R$147</x:f>
        <x:v>0</x:v>
      </x:c>
      <x:c r="K147" s="115" t="str">
        <x:f>IF(OR(E147&lt;&gt;"",F147&lt;&gt;""),"剑雅"&amp;B147&amp;"-T"&amp;C147&amp;"-第"&amp;IF(D147="",1,D147)&amp;"次","")</x:f>
      </x:c>
      <x:c r="L147" s="116" t="str">
        <x:f>IF(E147&lt;&gt;"",E147,"")</x:f>
      </x:c>
      <x:c r="M147" s="116" t="str">
        <x:f>IF(F147&lt;&gt;"",F147,"")</x:f>
      </x:c>
      <x:c r="N147" s="116" t="str">
        <x:f>IF(G147&lt;&gt;"",G147,"")</x:f>
      </x:c>
    </x:row>
    <x:row r="148">
      <x:c r="A148" s="114" t="str">
        <x:f>IF(OR('练习记录'!$J$148&lt;&gt;"",'练习记录'!$O$148&lt;&gt;""),'练习记录'!$A$148,"")</x:f>
      </x:c>
      <x:c r="B148" s="132" t="str">
        <x:f>IF(OR('练习记录'!$J$148&lt;&gt;"",'练习记录'!$O$148&lt;&gt;""),IFERROR('练习记录'!$B$145,""),"")</x:f>
      </x:c>
      <x:c r="C148" s="132" t="str">
        <x:f>IF(OR('练习记录'!$J$148&lt;&gt;"",'练习记录'!$O$148&lt;&gt;""),'练习记录'!$C$148,"")</x:f>
      </x:c>
      <x:c r="D148" s="132" t="str">
        <x:f>IF(OR('练习记录'!$J$148&lt;&gt;"",'练习记录'!$O$148&lt;&gt;""),'练习记录'!$D$148,"")</x:f>
      </x:c>
      <x:c r="E148" s="116" t="str">
        <x:f>IF('练习记录'!$J$148&lt;&gt;"",'练习记录'!$J$148,"")</x:f>
      </x:c>
      <x:c r="F148" s="116" t="str">
        <x:f>IF('练习记录'!$O$148&lt;&gt;"",'练习记录'!$O$148,"")</x:f>
      </x:c>
      <x:c r="G148" s="116" t="str">
        <x:f>IF('练习记录'!$P$148&lt;&gt;"",'练习记录'!$P$148,"")</x:f>
      </x:c>
      <x:c r="H148" s="116" t="str">
        <x:f>IF('练习记录'!$Q$148&lt;&gt;"",'练习记录'!$Q$148,"")</x:f>
      </x:c>
      <x:c r="I148" s="115" t="n">
        <x:f>'练习记录'!$R$148</x:f>
        <x:v>0</x:v>
      </x:c>
      <x:c r="K148" s="115" t="str">
        <x:f>IF(OR(E148&lt;&gt;"",F148&lt;&gt;""),"剑雅"&amp;B148&amp;"-T"&amp;C148&amp;"-第"&amp;IF(D148="",1,D148)&amp;"次","")</x:f>
      </x:c>
      <x:c r="L148" s="116" t="str">
        <x:f>IF(E148&lt;&gt;"",E148,"")</x:f>
      </x:c>
      <x:c r="M148" s="116" t="str">
        <x:f>IF(F148&lt;&gt;"",F148,"")</x:f>
      </x:c>
      <x:c r="N148" s="116" t="str">
        <x:f>IF(G148&lt;&gt;"",G148,"")</x:f>
      </x:c>
    </x:row>
    <x:row r="149">
      <x:c r="A149" s="114" t="str">
        <x:f>IF(OR('练习记录'!$J$149&lt;&gt;"",'练习记录'!$O$149&lt;&gt;""),'练习记录'!$A$149,"")</x:f>
      </x:c>
      <x:c r="B149" s="132" t="str">
        <x:f>IF(OR('练习记录'!$J$149&lt;&gt;"",'练习记录'!$O$149&lt;&gt;""),IFERROR('练习记录'!$B$149,""),"")</x:f>
      </x:c>
      <x:c r="C149" s="132" t="str">
        <x:f>IF(OR('练习记录'!$J$149&lt;&gt;"",'练习记录'!$O$149&lt;&gt;""),'练习记录'!$C$149,"")</x:f>
      </x:c>
      <x:c r="D149" s="132" t="str">
        <x:f>IF(OR('练习记录'!$J$149&lt;&gt;"",'练习记录'!$O$149&lt;&gt;""),'练习记录'!$D$149,"")</x:f>
      </x:c>
      <x:c r="E149" s="116" t="str">
        <x:f>IF('练习记录'!$J$149&lt;&gt;"",'练习记录'!$J$149,"")</x:f>
      </x:c>
      <x:c r="F149" s="116" t="str">
        <x:f>IF('练习记录'!$O$149&lt;&gt;"",'练习记录'!$O$149,"")</x:f>
      </x:c>
      <x:c r="G149" s="116" t="str">
        <x:f>IF('练习记录'!$P$149&lt;&gt;"",'练习记录'!$P$149,"")</x:f>
      </x:c>
      <x:c r="H149" s="116" t="str">
        <x:f>IF('练习记录'!$Q$149&lt;&gt;"",'练习记录'!$Q$149,"")</x:f>
      </x:c>
      <x:c r="I149" s="115" t="n">
        <x:f>'练习记录'!$R$149</x:f>
        <x:v>0</x:v>
      </x:c>
      <x:c r="K149" s="115" t="str">
        <x:f>IF(OR(E149&lt;&gt;"",F149&lt;&gt;""),"剑雅"&amp;B149&amp;"-T"&amp;C149&amp;"-第"&amp;IF(D149="",1,D149)&amp;"次","")</x:f>
      </x:c>
      <x:c r="L149" s="116" t="str">
        <x:f>IF(E149&lt;&gt;"",E149,"")</x:f>
      </x:c>
      <x:c r="M149" s="116" t="str">
        <x:f>IF(F149&lt;&gt;"",F149,"")</x:f>
      </x:c>
      <x:c r="N149" s="116" t="str">
        <x:f>IF(G149&lt;&gt;"",G149,"")</x:f>
      </x:c>
    </x:row>
    <x:row r="150">
      <x:c r="A150" s="114" t="str">
        <x:f>IF(OR('练习记录'!$J$150&lt;&gt;"",'练习记录'!$O$150&lt;&gt;""),'练习记录'!$A$150,"")</x:f>
      </x:c>
      <x:c r="B150" s="132" t="str">
        <x:f>IF(OR('练习记录'!$J$150&lt;&gt;"",'练习记录'!$O$150&lt;&gt;""),IFERROR('练习记录'!$B$149,""),"")</x:f>
      </x:c>
      <x:c r="C150" s="132" t="str">
        <x:f>IF(OR('练习记录'!$J$150&lt;&gt;"",'练习记录'!$O$150&lt;&gt;""),'练习记录'!$C$150,"")</x:f>
      </x:c>
      <x:c r="D150" s="132" t="str">
        <x:f>IF(OR('练习记录'!$J$150&lt;&gt;"",'练习记录'!$O$150&lt;&gt;""),'练习记录'!$D$150,"")</x:f>
      </x:c>
      <x:c r="E150" s="116" t="str">
        <x:f>IF('练习记录'!$J$150&lt;&gt;"",'练习记录'!$J$150,"")</x:f>
      </x:c>
      <x:c r="F150" s="116" t="str">
        <x:f>IF('练习记录'!$O$150&lt;&gt;"",'练习记录'!$O$150,"")</x:f>
      </x:c>
      <x:c r="G150" s="116" t="str">
        <x:f>IF('练习记录'!$P$150&lt;&gt;"",'练习记录'!$P$150,"")</x:f>
      </x:c>
      <x:c r="H150" s="116" t="str">
        <x:f>IF('练习记录'!$Q$150&lt;&gt;"",'练习记录'!$Q$150,"")</x:f>
      </x:c>
      <x:c r="I150" s="115" t="n">
        <x:f>'练习记录'!$R$150</x:f>
        <x:v>0</x:v>
      </x:c>
      <x:c r="K150" s="115" t="str">
        <x:f>IF(OR(E150&lt;&gt;"",F150&lt;&gt;""),"剑雅"&amp;B150&amp;"-T"&amp;C150&amp;"-第"&amp;IF(D150="",1,D150)&amp;"次","")</x:f>
      </x:c>
      <x:c r="L150" s="116" t="str">
        <x:f>IF(E150&lt;&gt;"",E150,"")</x:f>
      </x:c>
      <x:c r="M150" s="116" t="str">
        <x:f>IF(F150&lt;&gt;"",F150,"")</x:f>
      </x:c>
      <x:c r="N150" s="116" t="str">
        <x:f>IF(G150&lt;&gt;"",G150,"")</x:f>
      </x:c>
    </x:row>
    <x:row r="151">
      <x:c r="A151" s="114" t="str">
        <x:f>IF(OR('练习记录'!$J$151&lt;&gt;"",'练习记录'!$O$151&lt;&gt;""),'练习记录'!$A$151,"")</x:f>
      </x:c>
      <x:c r="B151" s="132" t="str">
        <x:f>IF(OR('练习记录'!$J$151&lt;&gt;"",'练习记录'!$O$151&lt;&gt;""),IFERROR('练习记录'!$B$149,""),"")</x:f>
      </x:c>
      <x:c r="C151" s="132" t="str">
        <x:f>IF(OR('练习记录'!$J$151&lt;&gt;"",'练习记录'!$O$151&lt;&gt;""),'练习记录'!$C$151,"")</x:f>
      </x:c>
      <x:c r="D151" s="132" t="str">
        <x:f>IF(OR('练习记录'!$J$151&lt;&gt;"",'练习记录'!$O$151&lt;&gt;""),'练习记录'!$D$151,"")</x:f>
      </x:c>
      <x:c r="E151" s="116" t="str">
        <x:f>IF('练习记录'!$J$151&lt;&gt;"",'练习记录'!$J$151,"")</x:f>
      </x:c>
      <x:c r="F151" s="116" t="str">
        <x:f>IF('练习记录'!$O$151&lt;&gt;"",'练习记录'!$O$151,"")</x:f>
      </x:c>
      <x:c r="G151" s="116" t="str">
        <x:f>IF('练习记录'!$P$151&lt;&gt;"",'练习记录'!$P$151,"")</x:f>
      </x:c>
      <x:c r="H151" s="116" t="str">
        <x:f>IF('练习记录'!$Q$151&lt;&gt;"",'练习记录'!$Q$151,"")</x:f>
      </x:c>
      <x:c r="I151" s="115" t="n">
        <x:f>'练习记录'!$R$151</x:f>
        <x:v>0</x:v>
      </x:c>
      <x:c r="K151" s="115" t="str">
        <x:f>IF(OR(E151&lt;&gt;"",F151&lt;&gt;""),"剑雅"&amp;B151&amp;"-T"&amp;C151&amp;"-第"&amp;IF(D151="",1,D151)&amp;"次","")</x:f>
      </x:c>
      <x:c r="L151" s="116" t="str">
        <x:f>IF(E151&lt;&gt;"",E151,"")</x:f>
      </x:c>
      <x:c r="M151" s="116" t="str">
        <x:f>IF(F151&lt;&gt;"",F151,"")</x:f>
      </x:c>
      <x:c r="N151" s="116" t="str">
        <x:f>IF(G151&lt;&gt;"",G151,"")</x:f>
      </x:c>
    </x:row>
    <x:row r="152">
      <x:c r="A152" s="114" t="str">
        <x:f>IF(OR('练习记录'!$J$152&lt;&gt;"",'练习记录'!$O$152&lt;&gt;""),'练习记录'!$A$152,"")</x:f>
      </x:c>
      <x:c r="B152" s="132" t="str">
        <x:f>IF(OR('练习记录'!$J$152&lt;&gt;"",'练习记录'!$O$152&lt;&gt;""),IFERROR('练习记录'!$B$149,""),"")</x:f>
      </x:c>
      <x:c r="C152" s="132" t="str">
        <x:f>IF(OR('练习记录'!$J$152&lt;&gt;"",'练习记录'!$O$152&lt;&gt;""),'练习记录'!$C$152,"")</x:f>
      </x:c>
      <x:c r="D152" s="132" t="str">
        <x:f>IF(OR('练习记录'!$J$152&lt;&gt;"",'练习记录'!$O$152&lt;&gt;""),'练习记录'!$D$152,"")</x:f>
      </x:c>
      <x:c r="E152" s="116" t="str">
        <x:f>IF('练习记录'!$J$152&lt;&gt;"",'练习记录'!$J$152,"")</x:f>
      </x:c>
      <x:c r="F152" s="116" t="str">
        <x:f>IF('练习记录'!$O$152&lt;&gt;"",'练习记录'!$O$152,"")</x:f>
      </x:c>
      <x:c r="G152" s="116" t="str">
        <x:f>IF('练习记录'!$P$152&lt;&gt;"",'练习记录'!$P$152,"")</x:f>
      </x:c>
      <x:c r="H152" s="116" t="str">
        <x:f>IF('练习记录'!$Q$152&lt;&gt;"",'练习记录'!$Q$152,"")</x:f>
      </x:c>
      <x:c r="I152" s="115" t="n">
        <x:f>'练习记录'!$R$152</x:f>
        <x:v>0</x:v>
      </x:c>
      <x:c r="K152" s="115" t="str">
        <x:f>IF(OR(E152&lt;&gt;"",F152&lt;&gt;""),"剑雅"&amp;B152&amp;"-T"&amp;C152&amp;"-第"&amp;IF(D152="",1,D152)&amp;"次","")</x:f>
      </x:c>
      <x:c r="L152" s="116" t="str">
        <x:f>IF(E152&lt;&gt;"",E152,"")</x:f>
      </x:c>
      <x:c r="M152" s="116" t="str">
        <x:f>IF(F152&lt;&gt;"",F152,"")</x:f>
      </x:c>
      <x:c r="N152" s="116" t="str">
        <x:f>IF(G152&lt;&gt;"",G152,"")</x:f>
      </x:c>
    </x:row>
    <x:row r="153">
      <x:c r="A153" s="114" t="str">
        <x:f>IF(OR('练习记录'!$J$153&lt;&gt;"",'练习记录'!$O$153&lt;&gt;""),'练习记录'!$A$153,"")</x:f>
      </x:c>
      <x:c r="B153" s="132" t="str">
        <x:f>IF(OR('练习记录'!$J$153&lt;&gt;"",'练习记录'!$O$153&lt;&gt;""),IFERROR('练习记录'!$B$153,""),"")</x:f>
      </x:c>
      <x:c r="C153" s="132" t="str">
        <x:f>IF(OR('练习记录'!$J$153&lt;&gt;"",'练习记录'!$O$153&lt;&gt;""),'练习记录'!$C$153,"")</x:f>
      </x:c>
      <x:c r="D153" s="132" t="str">
        <x:f>IF(OR('练习记录'!$J$153&lt;&gt;"",'练习记录'!$O$153&lt;&gt;""),'练习记录'!$D$153,"")</x:f>
      </x:c>
      <x:c r="E153" s="116" t="str">
        <x:f>IF('练习记录'!$J$153&lt;&gt;"",'练习记录'!$J$153,"")</x:f>
      </x:c>
      <x:c r="F153" s="116" t="str">
        <x:f>IF('练习记录'!$O$153&lt;&gt;"",'练习记录'!$O$153,"")</x:f>
      </x:c>
      <x:c r="G153" s="116" t="str">
        <x:f>IF('练习记录'!$P$153&lt;&gt;"",'练习记录'!$P$153,"")</x:f>
      </x:c>
      <x:c r="H153" s="116" t="str">
        <x:f>IF('练习记录'!$Q$153&lt;&gt;"",'练习记录'!$Q$153,"")</x:f>
      </x:c>
      <x:c r="I153" s="115" t="n">
        <x:f>'练习记录'!$R$153</x:f>
        <x:v>0</x:v>
      </x:c>
      <x:c r="K153" s="115" t="str">
        <x:f>IF(OR(E153&lt;&gt;"",F153&lt;&gt;""),"剑雅"&amp;B153&amp;"-T"&amp;C153&amp;"-第"&amp;IF(D153="",1,D153)&amp;"次","")</x:f>
      </x:c>
      <x:c r="L153" s="116" t="str">
        <x:f>IF(E153&lt;&gt;"",E153,"")</x:f>
      </x:c>
      <x:c r="M153" s="116" t="str">
        <x:f>IF(F153&lt;&gt;"",F153,"")</x:f>
      </x:c>
      <x:c r="N153" s="116" t="str">
        <x:f>IF(G153&lt;&gt;"",G153,"")</x:f>
      </x:c>
    </x:row>
    <x:row r="154">
      <x:c r="A154" s="114" t="str">
        <x:f>IF(OR('练习记录'!$J$154&lt;&gt;"",'练习记录'!$O$154&lt;&gt;""),'练习记录'!$A$154,"")</x:f>
      </x:c>
      <x:c r="B154" s="132" t="str">
        <x:f>IF(OR('练习记录'!$J$154&lt;&gt;"",'练习记录'!$O$154&lt;&gt;""),IFERROR('练习记录'!$B$153,""),"")</x:f>
      </x:c>
      <x:c r="C154" s="132" t="str">
        <x:f>IF(OR('练习记录'!$J$154&lt;&gt;"",'练习记录'!$O$154&lt;&gt;""),'练习记录'!$C$154,"")</x:f>
      </x:c>
      <x:c r="D154" s="132" t="str">
        <x:f>IF(OR('练习记录'!$J$154&lt;&gt;"",'练习记录'!$O$154&lt;&gt;""),'练习记录'!$D$154,"")</x:f>
      </x:c>
      <x:c r="E154" s="116" t="str">
        <x:f>IF('练习记录'!$J$154&lt;&gt;"",'练习记录'!$J$154,"")</x:f>
      </x:c>
      <x:c r="F154" s="116" t="str">
        <x:f>IF('练习记录'!$O$154&lt;&gt;"",'练习记录'!$O$154,"")</x:f>
      </x:c>
      <x:c r="G154" s="116" t="str">
        <x:f>IF('练习记录'!$P$154&lt;&gt;"",'练习记录'!$P$154,"")</x:f>
      </x:c>
      <x:c r="H154" s="116" t="str">
        <x:f>IF('练习记录'!$Q$154&lt;&gt;"",'练习记录'!$Q$154,"")</x:f>
      </x:c>
      <x:c r="I154" s="115" t="n">
        <x:f>'练习记录'!$R$154</x:f>
        <x:v>0</x:v>
      </x:c>
      <x:c r="K154" s="115" t="str">
        <x:f>IF(OR(E154&lt;&gt;"",F154&lt;&gt;""),"剑雅"&amp;B154&amp;"-T"&amp;C154&amp;"-第"&amp;IF(D154="",1,D154)&amp;"次","")</x:f>
      </x:c>
      <x:c r="L154" s="116" t="str">
        <x:f>IF(E154&lt;&gt;"",E154,"")</x:f>
      </x:c>
      <x:c r="M154" s="116" t="str">
        <x:f>IF(F154&lt;&gt;"",F154,"")</x:f>
      </x:c>
      <x:c r="N154" s="116" t="str">
        <x:f>IF(G154&lt;&gt;"",G154,"")</x:f>
      </x:c>
    </x:row>
    <x:row r="155">
      <x:c r="A155" s="114" t="str">
        <x:f>IF(OR('练习记录'!$J$155&lt;&gt;"",'练习记录'!$O$155&lt;&gt;""),'练习记录'!$A$155,"")</x:f>
      </x:c>
      <x:c r="B155" s="132" t="str">
        <x:f>IF(OR('练习记录'!$J$155&lt;&gt;"",'练习记录'!$O$155&lt;&gt;""),IFERROR('练习记录'!$B$153,""),"")</x:f>
      </x:c>
      <x:c r="C155" s="132" t="str">
        <x:f>IF(OR('练习记录'!$J$155&lt;&gt;"",'练习记录'!$O$155&lt;&gt;""),'练习记录'!$C$155,"")</x:f>
      </x:c>
      <x:c r="D155" s="132" t="str">
        <x:f>IF(OR('练习记录'!$J$155&lt;&gt;"",'练习记录'!$O$155&lt;&gt;""),'练习记录'!$D$155,"")</x:f>
      </x:c>
      <x:c r="E155" s="116" t="str">
        <x:f>IF('练习记录'!$J$155&lt;&gt;"",'练习记录'!$J$155,"")</x:f>
      </x:c>
      <x:c r="F155" s="116" t="str">
        <x:f>IF('练习记录'!$O$155&lt;&gt;"",'练习记录'!$O$155,"")</x:f>
      </x:c>
      <x:c r="G155" s="116" t="str">
        <x:f>IF('练习记录'!$P$155&lt;&gt;"",'练习记录'!$P$155,"")</x:f>
      </x:c>
      <x:c r="H155" s="116" t="str">
        <x:f>IF('练习记录'!$Q$155&lt;&gt;"",'练习记录'!$Q$155,"")</x:f>
      </x:c>
      <x:c r="I155" s="115" t="n">
        <x:f>'练习记录'!$R$155</x:f>
        <x:v>0</x:v>
      </x:c>
      <x:c r="K155" s="115" t="str">
        <x:f>IF(OR(E155&lt;&gt;"",F155&lt;&gt;""),"剑雅"&amp;B155&amp;"-T"&amp;C155&amp;"-第"&amp;IF(D155="",1,D155)&amp;"次","")</x:f>
      </x:c>
      <x:c r="L155" s="116" t="str">
        <x:f>IF(E155&lt;&gt;"",E155,"")</x:f>
      </x:c>
      <x:c r="M155" s="116" t="str">
        <x:f>IF(F155&lt;&gt;"",F155,"")</x:f>
      </x:c>
      <x:c r="N155" s="116" t="str">
        <x:f>IF(G155&lt;&gt;"",G155,"")</x:f>
      </x:c>
    </x:row>
    <x:row r="156">
      <x:c r="A156" s="114" t="str">
        <x:f>IF(OR('练习记录'!$J$156&lt;&gt;"",'练习记录'!$O$156&lt;&gt;""),'练习记录'!$A$156,"")</x:f>
      </x:c>
      <x:c r="B156" s="132" t="str">
        <x:f>IF(OR('练习记录'!$J$156&lt;&gt;"",'练习记录'!$O$156&lt;&gt;""),IFERROR('练习记录'!$B$153,""),"")</x:f>
      </x:c>
      <x:c r="C156" s="132" t="str">
        <x:f>IF(OR('练习记录'!$J$156&lt;&gt;"",'练习记录'!$O$156&lt;&gt;""),'练习记录'!$C$156,"")</x:f>
      </x:c>
      <x:c r="D156" s="132" t="str">
        <x:f>IF(OR('练习记录'!$J$156&lt;&gt;"",'练习记录'!$O$156&lt;&gt;""),'练习记录'!$D$156,"")</x:f>
      </x:c>
      <x:c r="E156" s="116" t="str">
        <x:f>IF('练习记录'!$J$156&lt;&gt;"",'练习记录'!$J$156,"")</x:f>
      </x:c>
      <x:c r="F156" s="116" t="str">
        <x:f>IF('练习记录'!$O$156&lt;&gt;"",'练习记录'!$O$156,"")</x:f>
      </x:c>
      <x:c r="G156" s="116" t="str">
        <x:f>IF('练习记录'!$P$156&lt;&gt;"",'练习记录'!$P$156,"")</x:f>
      </x:c>
      <x:c r="H156" s="116" t="str">
        <x:f>IF('练习记录'!$Q$156&lt;&gt;"",'练习记录'!$Q$156,"")</x:f>
      </x:c>
      <x:c r="I156" s="115" t="n">
        <x:f>'练习记录'!$R$156</x:f>
        <x:v>0</x:v>
      </x:c>
      <x:c r="K156" s="115" t="str">
        <x:f>IF(OR(E156&lt;&gt;"",F156&lt;&gt;""),"剑雅"&amp;B156&amp;"-T"&amp;C156&amp;"-第"&amp;IF(D156="",1,D156)&amp;"次","")</x:f>
      </x:c>
      <x:c r="L156" s="116" t="str">
        <x:f>IF(E156&lt;&gt;"",E156,"")</x:f>
      </x:c>
      <x:c r="M156" s="116" t="str">
        <x:f>IF(F156&lt;&gt;"",F156,"")</x:f>
      </x:c>
      <x:c r="N156" s="116" t="str">
        <x:f>IF(G156&lt;&gt;"",G156,"")</x:f>
      </x:c>
    </x:row>
    <x:row r="157">
      <x:c r="A157" s="114" t="str">
        <x:f>IF(OR('练习记录'!$J$157&lt;&gt;"",'练习记录'!$O$157&lt;&gt;""),'练习记录'!$A$157,"")</x:f>
      </x:c>
      <x:c r="B157" s="132" t="str">
        <x:f>IF(OR('练习记录'!$J$157&lt;&gt;"",'练习记录'!$O$157&lt;&gt;""),IFERROR('练习记录'!$B$157,""),"")</x:f>
      </x:c>
      <x:c r="C157" s="132" t="str">
        <x:f>IF(OR('练习记录'!$J$157&lt;&gt;"",'练习记录'!$O$157&lt;&gt;""),'练习记录'!$C$157,"")</x:f>
      </x:c>
      <x:c r="D157" s="132" t="str">
        <x:f>IF(OR('练习记录'!$J$157&lt;&gt;"",'练习记录'!$O$157&lt;&gt;""),'练习记录'!$D$157,"")</x:f>
      </x:c>
      <x:c r="E157" s="116" t="str">
        <x:f>IF('练习记录'!$J$157&lt;&gt;"",'练习记录'!$J$157,"")</x:f>
      </x:c>
      <x:c r="F157" s="116" t="str">
        <x:f>IF('练习记录'!$O$157&lt;&gt;"",'练习记录'!$O$157,"")</x:f>
      </x:c>
      <x:c r="G157" s="116" t="str">
        <x:f>IF('练习记录'!$P$157&lt;&gt;"",'练习记录'!$P$157,"")</x:f>
      </x:c>
      <x:c r="H157" s="116" t="str">
        <x:f>IF('练习记录'!$Q$157&lt;&gt;"",'练习记录'!$Q$157,"")</x:f>
      </x:c>
      <x:c r="I157" s="115" t="n">
        <x:f>'练习记录'!$R$157</x:f>
        <x:v>0</x:v>
      </x:c>
      <x:c r="K157" s="115" t="str">
        <x:f>IF(OR(E157&lt;&gt;"",F157&lt;&gt;""),"剑雅"&amp;B157&amp;"-T"&amp;C157&amp;"-第"&amp;IF(D157="",1,D157)&amp;"次","")</x:f>
      </x:c>
      <x:c r="L157" s="116" t="str">
        <x:f>IF(E157&lt;&gt;"",E157,"")</x:f>
      </x:c>
      <x:c r="M157" s="116" t="str">
        <x:f>IF(F157&lt;&gt;"",F157,"")</x:f>
      </x:c>
      <x:c r="N157" s="116" t="str">
        <x:f>IF(G157&lt;&gt;"",G157,"")</x:f>
      </x:c>
    </x:row>
    <x:row r="158">
      <x:c r="A158" s="114" t="str">
        <x:f>IF(OR('练习记录'!$J$158&lt;&gt;"",'练习记录'!$O$158&lt;&gt;""),'练习记录'!$A$158,"")</x:f>
      </x:c>
      <x:c r="B158" s="132" t="str">
        <x:f>IF(OR('练习记录'!$J$158&lt;&gt;"",'练习记录'!$O$158&lt;&gt;""),IFERROR('练习记录'!$B$157,""),"")</x:f>
      </x:c>
      <x:c r="C158" s="132" t="str">
        <x:f>IF(OR('练习记录'!$J$158&lt;&gt;"",'练习记录'!$O$158&lt;&gt;""),'练习记录'!$C$158,"")</x:f>
      </x:c>
      <x:c r="D158" s="132" t="str">
        <x:f>IF(OR('练习记录'!$J$158&lt;&gt;"",'练习记录'!$O$158&lt;&gt;""),'练习记录'!$D$158,"")</x:f>
      </x:c>
      <x:c r="E158" s="116" t="str">
        <x:f>IF('练习记录'!$J$158&lt;&gt;"",'练习记录'!$J$158,"")</x:f>
      </x:c>
      <x:c r="F158" s="116" t="str">
        <x:f>IF('练习记录'!$O$158&lt;&gt;"",'练习记录'!$O$158,"")</x:f>
      </x:c>
      <x:c r="G158" s="116" t="str">
        <x:f>IF('练习记录'!$P$158&lt;&gt;"",'练习记录'!$P$158,"")</x:f>
      </x:c>
      <x:c r="H158" s="116" t="str">
        <x:f>IF('练习记录'!$Q$158&lt;&gt;"",'练习记录'!$Q$158,"")</x:f>
      </x:c>
      <x:c r="I158" s="115" t="n">
        <x:f>'练习记录'!$R$158</x:f>
        <x:v>0</x:v>
      </x:c>
      <x:c r="K158" s="115" t="str">
        <x:f>IF(OR(E158&lt;&gt;"",F158&lt;&gt;""),"剑雅"&amp;B158&amp;"-T"&amp;C158&amp;"-第"&amp;IF(D158="",1,D158)&amp;"次","")</x:f>
      </x:c>
      <x:c r="L158" s="116" t="str">
        <x:f>IF(E158&lt;&gt;"",E158,"")</x:f>
      </x:c>
      <x:c r="M158" s="116" t="str">
        <x:f>IF(F158&lt;&gt;"",F158,"")</x:f>
      </x:c>
      <x:c r="N158" s="116" t="str">
        <x:f>IF(G158&lt;&gt;"",G158,"")</x:f>
      </x:c>
    </x:row>
    <x:row r="159">
      <x:c r="A159" s="114" t="str">
        <x:f>IF(OR('练习记录'!$J$159&lt;&gt;"",'练习记录'!$O$159&lt;&gt;""),'练习记录'!$A$159,"")</x:f>
      </x:c>
      <x:c r="B159" s="132" t="str">
        <x:f>IF(OR('练习记录'!$J$159&lt;&gt;"",'练习记录'!$O$159&lt;&gt;""),IFERROR('练习记录'!$B$157,""),"")</x:f>
      </x:c>
      <x:c r="C159" s="132" t="str">
        <x:f>IF(OR('练习记录'!$J$159&lt;&gt;"",'练习记录'!$O$159&lt;&gt;""),'练习记录'!$C$159,"")</x:f>
      </x:c>
      <x:c r="D159" s="132" t="str">
        <x:f>IF(OR('练习记录'!$J$159&lt;&gt;"",'练习记录'!$O$159&lt;&gt;""),'练习记录'!$D$159,"")</x:f>
      </x:c>
      <x:c r="E159" s="116" t="str">
        <x:f>IF('练习记录'!$J$159&lt;&gt;"",'练习记录'!$J$159,"")</x:f>
      </x:c>
      <x:c r="F159" s="116" t="str">
        <x:f>IF('练习记录'!$O$159&lt;&gt;"",'练习记录'!$O$159,"")</x:f>
      </x:c>
      <x:c r="G159" s="116" t="str">
        <x:f>IF('练习记录'!$P$159&lt;&gt;"",'练习记录'!$P$159,"")</x:f>
      </x:c>
      <x:c r="H159" s="116" t="str">
        <x:f>IF('练习记录'!$Q$159&lt;&gt;"",'练习记录'!$Q$159,"")</x:f>
      </x:c>
      <x:c r="I159" s="115" t="n">
        <x:f>'练习记录'!$R$159</x:f>
        <x:v>0</x:v>
      </x:c>
      <x:c r="K159" s="115" t="str">
        <x:f>IF(OR(E159&lt;&gt;"",F159&lt;&gt;""),"剑雅"&amp;B159&amp;"-T"&amp;C159&amp;"-第"&amp;IF(D159="",1,D159)&amp;"次","")</x:f>
      </x:c>
      <x:c r="L159" s="116" t="str">
        <x:f>IF(E159&lt;&gt;"",E159,"")</x:f>
      </x:c>
      <x:c r="M159" s="116" t="str">
        <x:f>IF(F159&lt;&gt;"",F159,"")</x:f>
      </x:c>
      <x:c r="N159" s="116" t="str">
        <x:f>IF(G159&lt;&gt;"",G159,"")</x:f>
      </x:c>
    </x:row>
    <x:row r="160">
      <x:c r="A160" s="114" t="str">
        <x:f>IF(OR('练习记录'!$J$160&lt;&gt;"",'练习记录'!$O$160&lt;&gt;""),'练习记录'!$A$160,"")</x:f>
      </x:c>
      <x:c r="B160" s="132" t="str">
        <x:f>IF(OR('练习记录'!$J$160&lt;&gt;"",'练习记录'!$O$160&lt;&gt;""),IFERROR('练习记录'!$B$157,""),"")</x:f>
      </x:c>
      <x:c r="C160" s="132" t="str">
        <x:f>IF(OR('练习记录'!$J$160&lt;&gt;"",'练习记录'!$O$160&lt;&gt;""),'练习记录'!$C$160,"")</x:f>
      </x:c>
      <x:c r="D160" s="132" t="str">
        <x:f>IF(OR('练习记录'!$J$160&lt;&gt;"",'练习记录'!$O$160&lt;&gt;""),'练习记录'!$D$160,"")</x:f>
      </x:c>
      <x:c r="E160" s="116" t="str">
        <x:f>IF('练习记录'!$J$160&lt;&gt;"",'练习记录'!$J$160,"")</x:f>
      </x:c>
      <x:c r="F160" s="116" t="str">
        <x:f>IF('练习记录'!$O$160&lt;&gt;"",'练习记录'!$O$160,"")</x:f>
      </x:c>
      <x:c r="G160" s="116" t="str">
        <x:f>IF('练习记录'!$P$160&lt;&gt;"",'练习记录'!$P$160,"")</x:f>
      </x:c>
      <x:c r="H160" s="116" t="str">
        <x:f>IF('练习记录'!$Q$160&lt;&gt;"",'练习记录'!$Q$160,"")</x:f>
      </x:c>
      <x:c r="I160" s="115" t="n">
        <x:f>'练习记录'!$R$160</x:f>
        <x:v>0</x:v>
      </x:c>
      <x:c r="K160" s="115" t="str">
        <x:f>IF(OR(E160&lt;&gt;"",F160&lt;&gt;""),"剑雅"&amp;B160&amp;"-T"&amp;C160&amp;"-第"&amp;IF(D160="",1,D160)&amp;"次","")</x:f>
      </x:c>
      <x:c r="L160" s="116" t="str">
        <x:f>IF(E160&lt;&gt;"",E160,"")</x:f>
      </x:c>
      <x:c r="M160" s="116" t="str">
        <x:f>IF(F160&lt;&gt;"",F160,"")</x:f>
      </x:c>
      <x:c r="N160" s="116" t="str">
        <x:f>IF(G160&lt;&gt;"",G160,"")</x:f>
      </x:c>
    </x:row>
    <x:row r="161">
      <x:c r="A161" s="114" t="str">
        <x:f>IF(OR('练习记录'!$J$161&lt;&gt;"",'练习记录'!$O$161&lt;&gt;""),'练习记录'!$A$161,"")</x:f>
      </x:c>
      <x:c r="B161" s="132" t="str">
        <x:f>IF(OR('练习记录'!$J$161&lt;&gt;"",'练习记录'!$O$161&lt;&gt;""),IFERROR('练习记录'!$B$161,""),"")</x:f>
      </x:c>
      <x:c r="C161" s="132" t="str">
        <x:f>IF(OR('练习记录'!$J$161&lt;&gt;"",'练习记录'!$O$161&lt;&gt;""),'练习记录'!$C$161,"")</x:f>
      </x:c>
      <x:c r="D161" s="132" t="str">
        <x:f>IF(OR('练习记录'!$J$161&lt;&gt;"",'练习记录'!$O$161&lt;&gt;""),'练习记录'!$D$161,"")</x:f>
      </x:c>
      <x:c r="E161" s="116" t="str">
        <x:f>IF('练习记录'!$J$161&lt;&gt;"",'练习记录'!$J$161,"")</x:f>
      </x:c>
      <x:c r="F161" s="116" t="str">
        <x:f>IF('练习记录'!$O$161&lt;&gt;"",'练习记录'!$O$161,"")</x:f>
      </x:c>
      <x:c r="G161" s="116" t="str">
        <x:f>IF('练习记录'!$P$161&lt;&gt;"",'练习记录'!$P$161,"")</x:f>
      </x:c>
      <x:c r="H161" s="116" t="str">
        <x:f>IF('练习记录'!$Q$161&lt;&gt;"",'练习记录'!$Q$161,"")</x:f>
      </x:c>
      <x:c r="I161" s="115" t="n">
        <x:f>'练习记录'!$R$161</x:f>
        <x:v>0</x:v>
      </x:c>
      <x:c r="K161" s="115" t="str">
        <x:f>IF(OR(E161&lt;&gt;"",F161&lt;&gt;""),"剑雅"&amp;B161&amp;"-T"&amp;C161&amp;"-第"&amp;IF(D161="",1,D161)&amp;"次","")</x:f>
      </x:c>
      <x:c r="L161" s="116" t="str">
        <x:f>IF(E161&lt;&gt;"",E161,"")</x:f>
      </x:c>
      <x:c r="M161" s="116" t="str">
        <x:f>IF(F161&lt;&gt;"",F161,"")</x:f>
      </x:c>
      <x:c r="N161" s="116" t="str">
        <x:f>IF(G161&lt;&gt;"",G161,"")</x:f>
      </x:c>
    </x:row>
    <x:row r="162">
      <x:c r="A162" s="114" t="str">
        <x:f>IF(OR('练习记录'!$J$162&lt;&gt;"",'练习记录'!$O$162&lt;&gt;""),'练习记录'!$A$162,"")</x:f>
      </x:c>
      <x:c r="B162" s="132" t="str">
        <x:f>IF(OR('练习记录'!$J$162&lt;&gt;"",'练习记录'!$O$162&lt;&gt;""),IFERROR('练习记录'!$B$161,""),"")</x:f>
      </x:c>
      <x:c r="C162" s="132" t="str">
        <x:f>IF(OR('练习记录'!$J$162&lt;&gt;"",'练习记录'!$O$162&lt;&gt;""),'练习记录'!$C$162,"")</x:f>
      </x:c>
      <x:c r="D162" s="132" t="str">
        <x:f>IF(OR('练习记录'!$J$162&lt;&gt;"",'练习记录'!$O$162&lt;&gt;""),'练习记录'!$D$162,"")</x:f>
      </x:c>
      <x:c r="E162" s="116" t="str">
        <x:f>IF('练习记录'!$J$162&lt;&gt;"",'练习记录'!$J$162,"")</x:f>
      </x:c>
      <x:c r="F162" s="116" t="str">
        <x:f>IF('练习记录'!$O$162&lt;&gt;"",'练习记录'!$O$162,"")</x:f>
      </x:c>
      <x:c r="G162" s="116" t="str">
        <x:f>IF('练习记录'!$P$162&lt;&gt;"",'练习记录'!$P$162,"")</x:f>
      </x:c>
      <x:c r="H162" s="116" t="str">
        <x:f>IF('练习记录'!$Q$162&lt;&gt;"",'练习记录'!$Q$162,"")</x:f>
      </x:c>
      <x:c r="I162" s="115" t="n">
        <x:f>'练习记录'!$R$162</x:f>
        <x:v>0</x:v>
      </x:c>
      <x:c r="K162" s="115" t="str">
        <x:f>IF(OR(E162&lt;&gt;"",F162&lt;&gt;""),"剑雅"&amp;B162&amp;"-T"&amp;C162&amp;"-第"&amp;IF(D162="",1,D162)&amp;"次","")</x:f>
      </x:c>
      <x:c r="L162" s="116" t="str">
        <x:f>IF(E162&lt;&gt;"",E162,"")</x:f>
      </x:c>
      <x:c r="M162" s="116" t="str">
        <x:f>IF(F162&lt;&gt;"",F162,"")</x:f>
      </x:c>
      <x:c r="N162" s="116" t="str">
        <x:f>IF(G162&lt;&gt;"",G162,"")</x:f>
      </x:c>
    </x:row>
    <x:row r="163">
      <x:c r="A163" s="114" t="str">
        <x:f>IF(OR('练习记录'!$J$163&lt;&gt;"",'练习记录'!$O$163&lt;&gt;""),'练习记录'!$A$163,"")</x:f>
      </x:c>
      <x:c r="B163" s="132" t="str">
        <x:f>IF(OR('练习记录'!$J$163&lt;&gt;"",'练习记录'!$O$163&lt;&gt;""),IFERROR('练习记录'!$B$161,""),"")</x:f>
      </x:c>
      <x:c r="C163" s="132" t="str">
        <x:f>IF(OR('练习记录'!$J$163&lt;&gt;"",'练习记录'!$O$163&lt;&gt;""),'练习记录'!$C$163,"")</x:f>
      </x:c>
      <x:c r="D163" s="132" t="str">
        <x:f>IF(OR('练习记录'!$J$163&lt;&gt;"",'练习记录'!$O$163&lt;&gt;""),'练习记录'!$D$163,"")</x:f>
      </x:c>
      <x:c r="E163" s="116" t="str">
        <x:f>IF('练习记录'!$J$163&lt;&gt;"",'练习记录'!$J$163,"")</x:f>
      </x:c>
      <x:c r="F163" s="116" t="str">
        <x:f>IF('练习记录'!$O$163&lt;&gt;"",'练习记录'!$O$163,"")</x:f>
      </x:c>
      <x:c r="G163" s="116" t="str">
        <x:f>IF('练习记录'!$P$163&lt;&gt;"",'练习记录'!$P$163,"")</x:f>
      </x:c>
      <x:c r="H163" s="116" t="str">
        <x:f>IF('练习记录'!$Q$163&lt;&gt;"",'练习记录'!$Q$163,"")</x:f>
      </x:c>
      <x:c r="I163" s="115" t="n">
        <x:f>'练习记录'!$R$163</x:f>
        <x:v>0</x:v>
      </x:c>
      <x:c r="K163" s="115" t="str">
        <x:f>IF(OR(E163&lt;&gt;"",F163&lt;&gt;""),"剑雅"&amp;B163&amp;"-T"&amp;C163&amp;"-第"&amp;IF(D163="",1,D163)&amp;"次","")</x:f>
      </x:c>
      <x:c r="L163" s="116" t="str">
        <x:f>IF(E163&lt;&gt;"",E163,"")</x:f>
      </x:c>
      <x:c r="M163" s="116" t="str">
        <x:f>IF(F163&lt;&gt;"",F163,"")</x:f>
      </x:c>
      <x:c r="N163" s="116" t="str">
        <x:f>IF(G163&lt;&gt;"",G163,"")</x:f>
      </x:c>
    </x:row>
    <x:row r="164">
      <x:c r="A164" s="114" t="str">
        <x:f>IF(OR('练习记录'!$J$164&lt;&gt;"",'练习记录'!$O$164&lt;&gt;""),'练习记录'!$A$164,"")</x:f>
      </x:c>
      <x:c r="B164" s="132" t="str">
        <x:f>IF(OR('练习记录'!$J$164&lt;&gt;"",'练习记录'!$O$164&lt;&gt;""),IFERROR('练习记录'!$B$161,""),"")</x:f>
      </x:c>
      <x:c r="C164" s="132" t="str">
        <x:f>IF(OR('练习记录'!$J$164&lt;&gt;"",'练习记录'!$O$164&lt;&gt;""),'练习记录'!$C$164,"")</x:f>
      </x:c>
      <x:c r="D164" s="132" t="str">
        <x:f>IF(OR('练习记录'!$J$164&lt;&gt;"",'练习记录'!$O$164&lt;&gt;""),'练习记录'!$D$164,"")</x:f>
      </x:c>
      <x:c r="E164" s="116" t="str">
        <x:f>IF('练习记录'!$J$164&lt;&gt;"",'练习记录'!$J$164,"")</x:f>
      </x:c>
      <x:c r="F164" s="116" t="str">
        <x:f>IF('练习记录'!$O$164&lt;&gt;"",'练习记录'!$O$164,"")</x:f>
      </x:c>
      <x:c r="G164" s="116" t="str">
        <x:f>IF('练习记录'!$P$164&lt;&gt;"",'练习记录'!$P$164,"")</x:f>
      </x:c>
      <x:c r="H164" s="116" t="str">
        <x:f>IF('练习记录'!$Q$164&lt;&gt;"",'练习记录'!$Q$164,"")</x:f>
      </x:c>
      <x:c r="I164" s="115" t="n">
        <x:f>'练习记录'!$R$164</x:f>
        <x:v>0</x:v>
      </x:c>
      <x:c r="K164" s="115" t="str">
        <x:f>IF(OR(E164&lt;&gt;"",F164&lt;&gt;""),"剑雅"&amp;B164&amp;"-T"&amp;C164&amp;"-第"&amp;IF(D164="",1,D164)&amp;"次","")</x:f>
      </x:c>
      <x:c r="L164" s="116" t="str">
        <x:f>IF(E164&lt;&gt;"",E164,"")</x:f>
      </x:c>
      <x:c r="M164" s="116" t="str">
        <x:f>IF(F164&lt;&gt;"",F164,"")</x:f>
      </x:c>
      <x:c r="N164" s="116" t="str">
        <x:f>IF(G164&lt;&gt;"",G164,"")</x:f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7b85a5c8368b49a6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8" max="8" width="14" hidden="0" customWidth="1"/>
    <x:col min="9" max="9" width="12" hidden="0" customWidth="1"/>
  </x:cols>
  <x:sheetData>
    <x:row r="1">
      <x:c r="A1" s="7" t="str">
        <x:v>弱项分析</x:v>
      </x:c>
      <x:c r="B1" s="7" t="str">
        <x:v>弱项分析</x:v>
      </x:c>
      <x:c r="C1" s="7" t="str">
        <x:v>弱项分析</x:v>
      </x:c>
      <x:c r="D1" s="7" t="str">
        <x:v>弱项分析</x:v>
      </x:c>
      <x:c r="E1" s="7" t="str">
        <x:v>弱项分析</x:v>
      </x:c>
      <x:c r="F1" s="7" t="str">
        <x:v>弱项分析</x:v>
      </x:c>
      <x:c r="G1" s="7" t="str">
        <x:v>弱项分析</x:v>
      </x:c>
      <x:c r="H1" s="7" t="str">
        <x:v>弱项分析</x:v>
      </x:c>
      <x:c r="I1" s="7" t="str">
        <x:v>弱项分析</x:v>
      </x:c>
      <x:c r="J1" s="7" t="str">
        <x:v>弱项分析</x:v>
      </x:c>
      <x:c r="K1" s="7" t="str">
        <x:v>弱项分析</x:v>
      </x:c>
      <x:c r="L1" s="7" t="str">
        <x:v>弱项分析</x:v>
      </x:c>
      <x:c r="M1" s="7" t="str">
        <x:v>弱项分析</x:v>
      </x:c>
      <x:c r="N1" s="7" t="str">
        <x:v>弱项分析</x:v>
      </x:c>
    </x:row>
    <x:row r="2">
      <x:c r="A2" s="10" t="str">
        <x:v>按 section / passage 汇总平均正确数与关注级别，帮助定位优先复盘区域。</x:v>
      </x:c>
      <x:c r="B2" s="10" t="str">
        <x:v>按 section / passage 汇总平均正确数与关注级别，帮助定位优先复盘区域。</x:v>
      </x:c>
      <x:c r="C2" s="10" t="str">
        <x:v>按 section / passage 汇总平均正确数与关注级别，帮助定位优先复盘区域。</x:v>
      </x:c>
      <x:c r="D2" s="10" t="str">
        <x:v>按 section / passage 汇总平均正确数与关注级别，帮助定位优先复盘区域。</x:v>
      </x:c>
      <x:c r="E2" s="10" t="str">
        <x:v>按 section / passage 汇总平均正确数与关注级别，帮助定位优先复盘区域。</x:v>
      </x:c>
      <x:c r="F2" s="10" t="str">
        <x:v>按 section / passage 汇总平均正确数与关注级别，帮助定位优先复盘区域。</x:v>
      </x:c>
      <x:c r="G2" s="10" t="str">
        <x:v>按 section / passage 汇总平均正确数与关注级别，帮助定位优先复盘区域。</x:v>
      </x:c>
      <x:c r="H2" s="10" t="str">
        <x:v>按 section / passage 汇总平均正确数与关注级别，帮助定位优先复盘区域。</x:v>
      </x:c>
      <x:c r="I2" s="10" t="str">
        <x:v>按 section / passage 汇总平均正确数与关注级别，帮助定位优先复盘区域。</x:v>
      </x:c>
      <x:c r="J2" s="10" t="str">
        <x:v>按 section / passage 汇总平均正确数与关注级别，帮助定位优先复盘区域。</x:v>
      </x:c>
      <x:c r="K2" s="10" t="str">
        <x:v>按 section / passage 汇总平均正确数与关注级别，帮助定位优先复盘区域。</x:v>
      </x:c>
      <x:c r="L2" s="10" t="str">
        <x:v>按 section / passage 汇总平均正确数与关注级别，帮助定位优先复盘区域。</x:v>
      </x:c>
      <x:c r="M2" s="10" t="str">
        <x:v>按 section / passage 汇总平均正确数与关注级别，帮助定位优先复盘区域。</x:v>
      </x:c>
      <x:c r="N2" s="10" t="str">
        <x:v>按 section / passage 汇总平均正确数与关注级别，帮助定位优先复盘区域。</x:v>
      </x:c>
    </x:row>
    <x:row r="4">
      <x:c r="A4" s="136" t="str">
        <x:v>项目</x:v>
      </x:c>
      <x:c r="B4" s="136" t="str">
        <x:v>模块</x:v>
      </x:c>
      <x:c r="C4" s="136" t="str">
        <x:v>平均正确数</x:v>
      </x:c>
      <x:c r="D4" s="136" t="str">
        <x:v>参考满分</x:v>
      </x:c>
      <x:c r="E4" s="136" t="str">
        <x:v>参考正确率</x:v>
      </x:c>
      <x:c r="F4" s="136" t="str">
        <x:v>关注级别</x:v>
      </x:c>
      <x:c r="H4" s="138" t="str">
        <x:v>项目</x:v>
      </x:c>
      <x:c r="I4" s="138" t="str">
        <x:v>平均正确数</x:v>
      </x:c>
    </x:row>
    <x:row r="5">
      <x:c r="A5" s="115" t="str">
        <x:v>听力 S1</x:v>
      </x:c>
      <x:c r="B5" s="115" t="str">
        <x:v>听力</x:v>
      </x:c>
      <x:c r="C5" s="116" t="str">
        <x:f>IFERROR(AVERAGE('练习记录'!E5:E164),"")</x:f>
      </x:c>
      <x:c r="D5" s="116" t="n">
        <x:v>10</x:v>
      </x:c>
      <x:c r="E5" s="137" t="str">
        <x:f>IF(C5="","",C5/D5)</x:f>
      </x:c>
      <x:c r="F5" s="115" t="str">
        <x:f>IF(C5="","",IF(C5&lt;6,"重点突破",IF(C5&lt;8,"继续巩固","稳定")))</x:f>
      </x:c>
      <x:c r="H5" s="115" t="str">
        <x:f>A5</x:f>
        <x:v>听力 S1</x:v>
      </x:c>
      <x:c r="I5" s="115" t="str">
        <x:f>IF(C5="","",C5)</x:f>
      </x:c>
    </x:row>
    <x:row r="6">
      <x:c r="A6" s="115" t="str">
        <x:v>听力 S2</x:v>
      </x:c>
      <x:c r="B6" s="115" t="str">
        <x:v>听力</x:v>
      </x:c>
      <x:c r="C6" s="116" t="str">
        <x:f>IFERROR(AVERAGE('练习记录'!F5:F164),"")</x:f>
      </x:c>
      <x:c r="D6" s="116" t="n">
        <x:v>10</x:v>
      </x:c>
      <x:c r="E6" s="137" t="str">
        <x:f>IF(C6="","",C6/D6)</x:f>
      </x:c>
      <x:c r="F6" s="115" t="str">
        <x:f>IF(C6="","",IF(C6&lt;6,"重点突破",IF(C6&lt;8,"继续巩固","稳定")))</x:f>
      </x:c>
      <x:c r="H6" s="115" t="str">
        <x:f>A6</x:f>
        <x:v>听力 S2</x:v>
      </x:c>
      <x:c r="I6" s="115" t="str">
        <x:f>IF(C6="","",C6)</x:f>
      </x:c>
    </x:row>
    <x:row r="7">
      <x:c r="A7" s="115" t="str">
        <x:v>听力 S3</x:v>
      </x:c>
      <x:c r="B7" s="115" t="str">
        <x:v>听力</x:v>
      </x:c>
      <x:c r="C7" s="116" t="str">
        <x:f>IFERROR(AVERAGE('练习记录'!G5:G164),"")</x:f>
      </x:c>
      <x:c r="D7" s="116" t="n">
        <x:v>10</x:v>
      </x:c>
      <x:c r="E7" s="137" t="str">
        <x:f>IF(C7="","",C7/D7)</x:f>
      </x:c>
      <x:c r="F7" s="115" t="str">
        <x:f>IF(C7="","",IF(C7&lt;6,"重点突破",IF(C7&lt;8,"继续巩固","稳定")))</x:f>
      </x:c>
      <x:c r="H7" s="115" t="str">
        <x:f>A7</x:f>
        <x:v>听力 S3</x:v>
      </x:c>
      <x:c r="I7" s="115" t="str">
        <x:f>IF(C7="","",C7)</x:f>
      </x:c>
    </x:row>
    <x:row r="8">
      <x:c r="A8" s="115" t="str">
        <x:v>听力 S4</x:v>
      </x:c>
      <x:c r="B8" s="115" t="str">
        <x:v>听力</x:v>
      </x:c>
      <x:c r="C8" s="116" t="str">
        <x:f>IFERROR(AVERAGE('练习记录'!H5:H164),"")</x:f>
      </x:c>
      <x:c r="D8" s="116" t="n">
        <x:v>10</x:v>
      </x:c>
      <x:c r="E8" s="137" t="str">
        <x:f>IF(C8="","",C8/D8)</x:f>
      </x:c>
      <x:c r="F8" s="115" t="str">
        <x:f>IF(C8="","",IF(C8&lt;6,"重点突破",IF(C8&lt;8,"继续巩固","稳定")))</x:f>
      </x:c>
      <x:c r="H8" s="115" t="str">
        <x:f>A8</x:f>
        <x:v>听力 S4</x:v>
      </x:c>
      <x:c r="I8" s="115" t="str">
        <x:f>IF(C8="","",C8)</x:f>
      </x:c>
    </x:row>
    <x:row r="9">
      <x:c r="A9" s="115" t="str">
        <x:v>阅读 P1</x:v>
      </x:c>
      <x:c r="B9" s="115" t="str">
        <x:v>阅读</x:v>
      </x:c>
      <x:c r="C9" s="116" t="str">
        <x:f>IFERROR(AVERAGE('练习记录'!K5:K164),"")</x:f>
      </x:c>
      <x:c r="D9" s="116" t="n">
        <x:v>14</x:v>
      </x:c>
      <x:c r="E9" s="137" t="str">
        <x:f>IF(C9="","",C9/D9)</x:f>
      </x:c>
      <x:c r="F9" s="115" t="str">
        <x:f>IF(C9="","",IF(C9&lt;8,"重点突破",IF(C9&lt;11,"继续巩固","稳定")))</x:f>
      </x:c>
      <x:c r="H9" s="115" t="str">
        <x:f>A9</x:f>
        <x:v>阅读 P1</x:v>
      </x:c>
      <x:c r="I9" s="115" t="str">
        <x:f>IF(C9="","",C9)</x:f>
      </x:c>
    </x:row>
    <x:row r="10">
      <x:c r="A10" s="115" t="str">
        <x:v>阅读 P2</x:v>
      </x:c>
      <x:c r="B10" s="115" t="str">
        <x:v>阅读</x:v>
      </x:c>
      <x:c r="C10" s="116" t="str">
        <x:f>IFERROR(AVERAGE('练习记录'!L5:L164),"")</x:f>
      </x:c>
      <x:c r="D10" s="116" t="n">
        <x:v>14</x:v>
      </x:c>
      <x:c r="E10" s="137" t="str">
        <x:f>IF(C10="","",C10/D10)</x:f>
      </x:c>
      <x:c r="F10" s="115" t="str">
        <x:f>IF(C10="","",IF(C10&lt;8,"重点突破",IF(C10&lt;11,"继续巩固","稳定")))</x:f>
      </x:c>
      <x:c r="H10" s="115" t="str">
        <x:f>A10</x:f>
        <x:v>阅读 P2</x:v>
      </x:c>
      <x:c r="I10" s="115" t="str">
        <x:f>IF(C10="","",C10)</x:f>
      </x:c>
    </x:row>
    <x:row r="11">
      <x:c r="A11" s="115" t="str">
        <x:v>阅读 P3</x:v>
      </x:c>
      <x:c r="B11" s="115" t="str">
        <x:v>阅读</x:v>
      </x:c>
      <x:c r="C11" s="116" t="str">
        <x:f>IFERROR(AVERAGE('练习记录'!M5:M164),"")</x:f>
      </x:c>
      <x:c r="D11" s="116" t="n">
        <x:v>14</x:v>
      </x:c>
      <x:c r="E11" s="137" t="str">
        <x:f>IF(C11="","",C11/D11)</x:f>
      </x:c>
      <x:c r="F11" s="115" t="str">
        <x:f>IF(C11="","",IF(C11&lt;8,"重点突破",IF(C11&lt;11,"继续巩固","稳定")))</x:f>
      </x:c>
      <x:c r="H11" s="115" t="str">
        <x:f>A11</x:f>
        <x:v>阅读 P3</x:v>
      </x:c>
      <x:c r="I11" s="115" t="str">
        <x:f>IF(C11="","",C11)</x:f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166aace36e904477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7" t="str">
        <x:v>IELTS Academic 常用评分换算表</x:v>
      </x:c>
      <x:c r="B1" s="142" t="str">
        <x:v>IELTS Academic 常用评分换算表</x:v>
      </x:c>
      <x:c r="C1" s="7" t="str">
        <x:v>IELTS Academic 常用评分换算表</x:v>
      </x:c>
      <x:c r="D1" s="7" t="str">
        <x:v>IELTS Academic 常用评分换算表</x:v>
      </x:c>
      <x:c r="E1" s="142" t="str">
        <x:v>IELTS Academic 常用评分换算表</x:v>
      </x:c>
    </x:row>
    <x:row r="2">
      <x:c r="A2" s="10" t="str">
        <x:v>主表按“总对题数”向下取最近档位。你可以直接修改这里的 band 分数。</x:v>
      </x:c>
      <x:c r="B2" s="10" t="str">
        <x:v>主表按“总对题数”向下取最近档位。你可以直接修改这里的 band 分数。</x:v>
      </x:c>
      <x:c r="C2" s="10" t="str">
        <x:v>主表按“总对题数”向下取最近档位。你可以直接修改这里的 band 分数。</x:v>
      </x:c>
      <x:c r="D2" s="10" t="str">
        <x:v>主表按“总对题数”向下取最近档位。你可以直接修改这里的 band 分数。</x:v>
      </x:c>
      <x:c r="E2" s="10" t="str">
        <x:v>主表按“总对题数”向下取最近档位。你可以直接修改这里的 band 分数。</x:v>
      </x:c>
    </x:row>
    <x:row r="3">
      <x:c r="A3" s="113" t="str">
        <x:v>听力总对</x:v>
      </x:c>
      <x:c r="B3" s="113" t="str">
        <x:v>听力 Band</x:v>
      </x:c>
      <x:c r="C3" s="115"/>
      <x:c r="D3" s="141" t="str">
        <x:v>阅读总对</x:v>
      </x:c>
      <x:c r="E3" s="141" t="str">
        <x:v>阅读 Band</x:v>
      </x:c>
    </x:row>
    <x:row r="4">
      <x:c r="A4" s="115" t="n">
        <x:v>0</x:v>
      </x:c>
      <x:c r="B4" s="115" t="n">
        <x:v>0</x:v>
      </x:c>
      <x:c r="C4" s="115"/>
      <x:c r="D4" s="115" t="n">
        <x:v>0</x:v>
      </x:c>
      <x:c r="E4" s="115" t="n">
        <x:v>0</x:v>
      </x:c>
    </x:row>
    <x:row r="5">
      <x:c r="A5" s="115" t="n">
        <x:v>1</x:v>
      </x:c>
      <x:c r="B5" s="115" t="n">
        <x:v>1</x:v>
      </x:c>
      <x:c r="C5" s="115"/>
      <x:c r="D5" s="115" t="n">
        <x:v>1</x:v>
      </x:c>
      <x:c r="E5" s="115" t="n">
        <x:v>1</x:v>
      </x:c>
    </x:row>
    <x:row r="6">
      <x:c r="A6" s="115" t="n">
        <x:v>3</x:v>
      </x:c>
      <x:c r="B6" s="115" t="n">
        <x:v>2</x:v>
      </x:c>
      <x:c r="C6" s="115"/>
      <x:c r="D6" s="115" t="n">
        <x:v>3</x:v>
      </x:c>
      <x:c r="E6" s="115" t="n">
        <x:v>2</x:v>
      </x:c>
    </x:row>
    <x:row r="7">
      <x:c r="A7" s="115" t="n">
        <x:v>5</x:v>
      </x:c>
      <x:c r="B7" s="115" t="n">
        <x:v>2.5</x:v>
      </x:c>
      <x:c r="C7" s="115"/>
      <x:c r="D7" s="115" t="n">
        <x:v>5</x:v>
      </x:c>
      <x:c r="E7" s="115" t="n">
        <x:v>2.5</x:v>
      </x:c>
    </x:row>
    <x:row r="8">
      <x:c r="A8" s="115" t="n">
        <x:v>6</x:v>
      </x:c>
      <x:c r="B8" s="115" t="n">
        <x:v>3</x:v>
      </x:c>
      <x:c r="C8" s="115"/>
      <x:c r="D8" s="115" t="n">
        <x:v>6</x:v>
      </x:c>
      <x:c r="E8" s="115" t="n">
        <x:v>3</x:v>
      </x:c>
    </x:row>
    <x:row r="9">
      <x:c r="A9" s="115" t="n">
        <x:v>8</x:v>
      </x:c>
      <x:c r="B9" s="115" t="n">
        <x:v>3.5</x:v>
      </x:c>
      <x:c r="C9" s="115"/>
      <x:c r="D9" s="115" t="n">
        <x:v>8</x:v>
      </x:c>
      <x:c r="E9" s="115" t="n">
        <x:v>3.5</x:v>
      </x:c>
    </x:row>
    <x:row r="10">
      <x:c r="A10" s="115" t="n">
        <x:v>10</x:v>
      </x:c>
      <x:c r="B10" s="115" t="n">
        <x:v>4</x:v>
      </x:c>
      <x:c r="C10" s="115"/>
      <x:c r="D10" s="115" t="n">
        <x:v>10</x:v>
      </x:c>
      <x:c r="E10" s="115" t="n">
        <x:v>4</x:v>
      </x:c>
    </x:row>
    <x:row r="11">
      <x:c r="A11" s="115" t="n">
        <x:v>13</x:v>
      </x:c>
      <x:c r="B11" s="115" t="n">
        <x:v>4.5</x:v>
      </x:c>
      <x:c r="C11" s="115"/>
      <x:c r="D11" s="115" t="n">
        <x:v>13</x:v>
      </x:c>
      <x:c r="E11" s="115" t="n">
        <x:v>4.5</x:v>
      </x:c>
    </x:row>
    <x:row r="12">
      <x:c r="A12" s="115" t="n">
        <x:v>16</x:v>
      </x:c>
      <x:c r="B12" s="115" t="n">
        <x:v>5</x:v>
      </x:c>
      <x:c r="C12" s="115"/>
      <x:c r="D12" s="115" t="n">
        <x:v>15</x:v>
      </x:c>
      <x:c r="E12" s="115" t="n">
        <x:v>5</x:v>
      </x:c>
    </x:row>
    <x:row r="13">
      <x:c r="A13" s="115" t="n">
        <x:v>18</x:v>
      </x:c>
      <x:c r="B13" s="115" t="n">
        <x:v>5.5</x:v>
      </x:c>
      <x:c r="C13" s="115"/>
      <x:c r="D13" s="115" t="n">
        <x:v>19</x:v>
      </x:c>
      <x:c r="E13" s="115" t="n">
        <x:v>5.5</x:v>
      </x:c>
    </x:row>
    <x:row r="14">
      <x:c r="A14" s="115" t="n">
        <x:v>23</x:v>
      </x:c>
      <x:c r="B14" s="115" t="n">
        <x:v>6</x:v>
      </x:c>
      <x:c r="C14" s="115"/>
      <x:c r="D14" s="115" t="n">
        <x:v>23</x:v>
      </x:c>
      <x:c r="E14" s="115" t="n">
        <x:v>6</x:v>
      </x:c>
    </x:row>
    <x:row r="15">
      <x:c r="A15" s="115" t="n">
        <x:v>26</x:v>
      </x:c>
      <x:c r="B15" s="115" t="n">
        <x:v>6.5</x:v>
      </x:c>
      <x:c r="C15" s="115"/>
      <x:c r="D15" s="115" t="n">
        <x:v>27</x:v>
      </x:c>
      <x:c r="E15" s="115" t="n">
        <x:v>6.5</x:v>
      </x:c>
    </x:row>
    <x:row r="16">
      <x:c r="A16" s="115" t="n">
        <x:v>30</x:v>
      </x:c>
      <x:c r="B16" s="115" t="n">
        <x:v>7</x:v>
      </x:c>
      <x:c r="C16" s="115"/>
      <x:c r="D16" s="115" t="n">
        <x:v>30</x:v>
      </x:c>
      <x:c r="E16" s="115" t="n">
        <x:v>7</x:v>
      </x:c>
    </x:row>
    <x:row r="17">
      <x:c r="A17" s="115" t="n">
        <x:v>32</x:v>
      </x:c>
      <x:c r="B17" s="115" t="n">
        <x:v>7.5</x:v>
      </x:c>
      <x:c r="C17" s="115"/>
      <x:c r="D17" s="115" t="n">
        <x:v>33</x:v>
      </x:c>
      <x:c r="E17" s="115" t="n">
        <x:v>7.5</x:v>
      </x:c>
    </x:row>
    <x:row r="18">
      <x:c r="A18" s="115" t="n">
        <x:v>35</x:v>
      </x:c>
      <x:c r="B18" s="115" t="n">
        <x:v>8</x:v>
      </x:c>
      <x:c r="C18" s="115"/>
      <x:c r="D18" s="115" t="n">
        <x:v>35</x:v>
      </x:c>
      <x:c r="E18" s="115" t="n">
        <x:v>8</x:v>
      </x:c>
    </x:row>
    <x:row r="19">
      <x:c r="A19" s="115" t="n">
        <x:v>37</x:v>
      </x:c>
      <x:c r="B19" s="115" t="n">
        <x:v>8.5</x:v>
      </x:c>
      <x:c r="C19" s="115"/>
      <x:c r="D19" s="115" t="n">
        <x:v>38</x:v>
      </x:c>
      <x:c r="E19" s="115" t="n">
        <x:v>8.5</x:v>
      </x:c>
    </x:row>
    <x:row r="20">
      <x:c r="A20" s="115" t="n">
        <x:v>39</x:v>
      </x:c>
      <x:c r="B20" s="115" t="n">
        <x:v>9</x:v>
      </x:c>
      <x:c r="C20" s="115"/>
      <x:c r="D20" s="115" t="n">
        <x:v>40</x:v>
      </x:c>
      <x:c r="E20" s="115" t="n">
        <x:v>9</x:v>
      </x:c>
    </x:row>
    <x:row r="21">
      <x:c r="A21" s="115"/>
      <x:c r="B21" s="115"/>
      <x:c r="C21" s="115"/>
      <x:c r="D21" s="115"/>
      <x:c r="E21" s="115"/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8" hidden="0" customWidth="1"/>
  </x:cols>
  <x:sheetData>
    <x:row r="1">
      <x:c r="A1" s="7" t="str">
        <x:v>使用说明</x:v>
      </x:c>
      <x:c r="B1" s="131" t="str">
        <x:v>使用说明</x:v>
      </x:c>
    </x:row>
    <x:row r="3">
      <x:c r="A3" s="143" t="str">
        <x:v>怎么填写</x:v>
      </x:c>
      <x:c r="B3" s="115" t="str">
        <x:v>在“练习记录”里，每 4 行为一组。填写合并单元格中的剑雅编号；Test 已按 1 到 4 给出。</x:v>
      </x:c>
    </x:row>
    <x:row r="4">
      <x:c r="A4" s="143" t="str">
        <x:v>复刷记录</x:v>
      </x:c>
      <x:c r="B4" s="115" t="str">
        <x:v>同一个 Test 再做一次时，复制一组 4 行到下面，填写相同剑雅编号，并在“次数”列填 2、3、4 等。</x:v>
      </x:c>
    </x:row>
    <x:row r="5">
      <x:c r="A5" s="143" t="str">
        <x:v>目标设置</x:v>
      </x:c>
      <x:c r="B5" s="115" t="str">
        <x:v>在“总览仪表盘”中修改听力、阅读、综合目标，目标差距会自动更新。</x:v>
      </x:c>
    </x:row>
    <x:row r="6">
      <x:c r="A6" s="143" t="str">
        <x:v>听力</x:v>
      </x:c>
      <x:c r="B6" s="115" t="str">
        <x:v>听力 S1-S4 每部分通常 10 题，总分 40 题。表格会自动计算听力总对和听力 Band。</x:v>
      </x:c>
    </x:row>
    <x:row r="7">
      <x:c r="A7" s="143" t="str">
        <x:v>阅读</x:v>
      </x:c>
      <x:c r="B7" s="115" t="str">
        <x:v>阅读三篇总共 40 题。不同 Test 每篇题数可能不是固定 13/13/14，只要填写每篇做对题数即可。</x:v>
      </x:c>
    </x:row>
    <x:row r="8">
      <x:c r="A8" s="143" t="str">
        <x:v>看趋势</x:v>
      </x:c>
      <x:c r="B8" s="115" t="str">
        <x:v>“趋势数据”和“总览仪表盘”会自动展示听力、阅读、综合分数趋势。</x:v>
      </x:c>
    </x:row>
    <x:row r="9">
      <x:c r="A9" s="143" t="str">
        <x:v>看弱项</x:v>
      </x:c>
      <x:c r="B9" s="115" t="str">
        <x:v>“弱项分析”会统计每个 section / passage 的平均正确数，并给出关注级别。</x:v>
      </x:c>
    </x:row>
    <x:row r="10">
      <x:c r="A10" s="143" t="str">
        <x:v>修改规则</x:v>
      </x:c>
      <x:c r="B10" s="115" t="str">
        <x:v>如果你使用的评分规则不同，到“评分规则”表修改对应总对题数的 Band。主表会自动更新。</x:v>
      </x:c>
    </x:row>
  </x:sheetData>
  <x:mergeCells>
    <x:mergeCell ref="A1:B1"/>
  </x:mergeCells>
  <x:pageMargins left="0.7" right="0.7" top="0.75" bottom="0.75" header="0.3" footer="0.3"/>
</x:worksheet>
</file>